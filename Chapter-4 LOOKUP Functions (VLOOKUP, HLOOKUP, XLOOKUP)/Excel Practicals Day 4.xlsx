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oITBridge\Excel With Proitbridge\"/>
    </mc:Choice>
  </mc:AlternateContent>
  <xr:revisionPtr revIDLastSave="0" documentId="13_ncr:1_{5D4E4B37-2524-4BD6-8EBB-D012CE731846}" xr6:coauthVersionLast="47" xr6:coauthVersionMax="47" xr10:uidLastSave="{00000000-0000-0000-0000-000000000000}"/>
  <bookViews>
    <workbookView xWindow="-98" yWindow="-98" windowWidth="21795" windowHeight="12975" activeTab="6" xr2:uid="{80BCE5D6-05BA-A64D-BB75-DAE265A989EF}"/>
  </bookViews>
  <sheets>
    <sheet name="Vlookup" sheetId="1" r:id="rId1"/>
    <sheet name="Hlookup" sheetId="4" r:id="rId2"/>
    <sheet name="Xlookup" sheetId="5" r:id="rId3"/>
    <sheet name="Xlookup 2" sheetId="12" r:id="rId4"/>
    <sheet name="Xlookup 3" sheetId="6" r:id="rId5"/>
    <sheet name="Xlookup 4" sheetId="11" r:id="rId6"/>
    <sheet name="Xlookup 5" sheetId="9" r:id="rId7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3" i="9" l="1" a="1"/>
  <c r="J3" i="9" s="1"/>
  <c r="I3" i="11"/>
  <c r="I3" i="6" a="1"/>
  <c r="I3" i="6" s="1"/>
  <c r="I8" i="12"/>
  <c r="I4" i="5"/>
  <c r="C9" i="4"/>
  <c r="I3" i="1"/>
  <c r="E6" i="5"/>
  <c r="E7" i="5"/>
  <c r="E8" i="5"/>
  <c r="E24" i="12"/>
  <c r="E23" i="12"/>
  <c r="E22" i="12"/>
  <c r="E21" i="12"/>
  <c r="E20" i="12"/>
  <c r="E19" i="12"/>
  <c r="E18" i="12"/>
  <c r="E17" i="12"/>
  <c r="E16" i="12"/>
  <c r="E15" i="12"/>
  <c r="E14" i="12"/>
  <c r="E13" i="12"/>
  <c r="E12" i="12"/>
  <c r="E11" i="12"/>
  <c r="E10" i="12"/>
  <c r="E9" i="12"/>
  <c r="E8" i="12"/>
  <c r="E7" i="12"/>
  <c r="E6" i="12"/>
  <c r="E5" i="12"/>
  <c r="E4" i="12"/>
  <c r="B4" i="12"/>
  <c r="E3" i="12"/>
  <c r="F14" i="11"/>
  <c r="F13" i="11"/>
  <c r="F12" i="11"/>
  <c r="F11" i="11"/>
  <c r="F10" i="11"/>
  <c r="F9" i="11"/>
  <c r="F8" i="11"/>
  <c r="F7" i="11"/>
  <c r="F6" i="11"/>
  <c r="F5" i="11"/>
  <c r="F4" i="11"/>
  <c r="C4" i="11"/>
  <c r="C5" i="11" s="1"/>
  <c r="C6" i="11" s="1"/>
  <c r="C7" i="11" s="1"/>
  <c r="C8" i="11" s="1"/>
  <c r="C9" i="11" s="1"/>
  <c r="C10" i="11" s="1"/>
  <c r="C11" i="11" s="1"/>
  <c r="C12" i="11" s="1"/>
  <c r="C13" i="11" s="1"/>
  <c r="C14" i="11" s="1"/>
  <c r="F3" i="11"/>
  <c r="E3" i="9"/>
  <c r="F3" i="9" s="1"/>
  <c r="F24" i="6"/>
  <c r="F23" i="6"/>
  <c r="F22" i="6"/>
  <c r="F21" i="6"/>
  <c r="F20" i="6"/>
  <c r="F19" i="6"/>
  <c r="F18" i="6"/>
  <c r="F17" i="6"/>
  <c r="F16" i="6"/>
  <c r="F15" i="6"/>
  <c r="F14" i="6"/>
  <c r="F13" i="6"/>
  <c r="F12" i="6"/>
  <c r="F11" i="6"/>
  <c r="F10" i="6"/>
  <c r="F9" i="6"/>
  <c r="F8" i="6"/>
  <c r="F7" i="6"/>
  <c r="F6" i="6"/>
  <c r="F5" i="6"/>
  <c r="F4" i="6"/>
  <c r="C4" i="6"/>
  <c r="C5" i="6" s="1"/>
  <c r="C6" i="6" s="1"/>
  <c r="F3" i="6"/>
  <c r="E24" i="5"/>
  <c r="E23" i="5"/>
  <c r="E22" i="5"/>
  <c r="E21" i="5"/>
  <c r="E20" i="5"/>
  <c r="E19" i="5"/>
  <c r="E18" i="5"/>
  <c r="E17" i="5"/>
  <c r="E16" i="5"/>
  <c r="E15" i="5"/>
  <c r="E14" i="5"/>
  <c r="E13" i="5"/>
  <c r="E12" i="5"/>
  <c r="E11" i="5"/>
  <c r="E10" i="5"/>
  <c r="E9" i="5"/>
  <c r="E5" i="5"/>
  <c r="E4" i="5"/>
  <c r="B4" i="5"/>
  <c r="B5" i="5" s="1"/>
  <c r="E3" i="5"/>
  <c r="F24" i="1"/>
  <c r="F23" i="1"/>
  <c r="F22" i="1"/>
  <c r="F21" i="1"/>
  <c r="F20" i="1"/>
  <c r="F19" i="1"/>
  <c r="F18" i="1"/>
  <c r="F17" i="1"/>
  <c r="F16" i="1"/>
  <c r="F15" i="1"/>
  <c r="F14" i="1"/>
  <c r="F13" i="1"/>
  <c r="F12" i="1"/>
  <c r="F11" i="1"/>
  <c r="F10" i="1"/>
  <c r="F9" i="1"/>
  <c r="F8" i="1"/>
  <c r="F7" i="1"/>
  <c r="F6" i="1"/>
  <c r="F5" i="1"/>
  <c r="F4" i="1"/>
  <c r="F3" i="1"/>
  <c r="C4" i="1"/>
  <c r="C5" i="1" s="1"/>
  <c r="C6" i="1" s="1"/>
  <c r="C7" i="1" s="1"/>
  <c r="C8" i="1" s="1"/>
  <c r="C9" i="1" s="1"/>
  <c r="C10" i="1" s="1"/>
  <c r="C11" i="1" s="1"/>
  <c r="C12" i="1" s="1"/>
  <c r="C13" i="1" s="1"/>
  <c r="C14" i="1" s="1"/>
  <c r="C15" i="1" s="1"/>
  <c r="C16" i="1" s="1"/>
  <c r="C17" i="1" s="1"/>
  <c r="C18" i="1" s="1"/>
  <c r="C19" i="1" s="1"/>
  <c r="C20" i="1" s="1"/>
  <c r="C21" i="1" s="1"/>
  <c r="C22" i="1" s="1"/>
  <c r="C23" i="1" s="1"/>
  <c r="C24" i="1" s="1"/>
  <c r="B6" i="5" l="1"/>
  <c r="B7" i="5" s="1"/>
  <c r="B8" i="5" s="1"/>
  <c r="B9" i="5" s="1"/>
  <c r="B10" i="5" s="1"/>
  <c r="B11" i="5" s="1"/>
  <c r="B12" i="5" s="1"/>
  <c r="B13" i="5" s="1"/>
  <c r="B14" i="5" s="1"/>
  <c r="B15" i="5" s="1"/>
  <c r="B16" i="5" s="1"/>
  <c r="B17" i="5" s="1"/>
  <c r="B18" i="5" s="1"/>
  <c r="B19" i="5" s="1"/>
  <c r="B20" i="5" s="1"/>
  <c r="B21" i="5" s="1"/>
  <c r="B22" i="5" s="1"/>
  <c r="B23" i="5" s="1"/>
  <c r="B24" i="5" s="1"/>
  <c r="B5" i="12"/>
  <c r="B6" i="12"/>
  <c r="C7" i="6"/>
  <c r="C8" i="6" s="1"/>
  <c r="C9" i="6" s="1"/>
  <c r="C10" i="6" s="1"/>
  <c r="C11" i="6" s="1"/>
  <c r="C12" i="6" s="1"/>
  <c r="C13" i="6" s="1"/>
  <c r="C14" i="6" s="1"/>
  <c r="C15" i="6" s="1"/>
  <c r="C16" i="6" s="1"/>
  <c r="C17" i="6" s="1"/>
  <c r="C18" i="6" s="1"/>
  <c r="C19" i="6" s="1"/>
  <c r="C20" i="6" s="1"/>
  <c r="C21" i="6" s="1"/>
  <c r="C22" i="6" s="1"/>
  <c r="C23" i="6" s="1"/>
  <c r="C24" i="6" s="1"/>
  <c r="B7" i="12" l="1"/>
  <c r="B8" i="12" s="1"/>
  <c r="B9" i="12" s="1"/>
  <c r="B10" i="12" s="1"/>
  <c r="B11" i="12" s="1"/>
  <c r="B12" i="12" s="1"/>
  <c r="B13" i="12" s="1"/>
  <c r="B14" i="12" s="1"/>
  <c r="B15" i="12" s="1"/>
  <c r="B16" i="12" s="1"/>
  <c r="B17" i="12" s="1"/>
  <c r="B18" i="12" s="1"/>
  <c r="B19" i="12" s="1"/>
  <c r="B20" i="12" s="1"/>
  <c r="B21" i="12" s="1"/>
  <c r="B22" i="12" s="1"/>
  <c r="B23" i="12" s="1"/>
  <c r="B24" i="12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<sst xmlns="http://schemas.openxmlformats.org/spreadsheetml/2006/main" count="207" uniqueCount="49">
  <si>
    <t xml:space="preserve"> </t>
  </si>
  <si>
    <t>Salesperson</t>
  </si>
  <si>
    <t>ID Number</t>
  </si>
  <si>
    <t>Date</t>
  </si>
  <si>
    <t>Sale Amount</t>
  </si>
  <si>
    <t>Commission</t>
  </si>
  <si>
    <t>Kennedi Singh</t>
  </si>
  <si>
    <t>Harley Fritz</t>
  </si>
  <si>
    <t>Nyla Novak</t>
  </si>
  <si>
    <t>David Rasmussen</t>
  </si>
  <si>
    <t>Ivan Hines</t>
  </si>
  <si>
    <t>Jonah Higgins</t>
  </si>
  <si>
    <t>Jordan Boone</t>
  </si>
  <si>
    <t>Kylee Townsend</t>
  </si>
  <si>
    <t>Nora Rollins</t>
  </si>
  <si>
    <t>Steven Michael</t>
  </si>
  <si>
    <t>Lucia Mckay</t>
  </si>
  <si>
    <t>Josue Roach</t>
  </si>
  <si>
    <t>Franklin Wright</t>
  </si>
  <si>
    <t>Alia Thornton</t>
  </si>
  <si>
    <t>Denzel Flores</t>
  </si>
  <si>
    <t>Bruno Cordova</t>
  </si>
  <si>
    <t>Jaylynn Knapp</t>
  </si>
  <si>
    <t>Bruce Rich</t>
  </si>
  <si>
    <t>Arturo Moore</t>
  </si>
  <si>
    <t>Bryce Carpenter</t>
  </si>
  <si>
    <t>Jaidyn Andersen</t>
  </si>
  <si>
    <t>Bill Smith</t>
  </si>
  <si>
    <t>Xlookup</t>
  </si>
  <si>
    <t>Asma</t>
  </si>
  <si>
    <t>Company</t>
  </si>
  <si>
    <t>Name</t>
  </si>
  <si>
    <t>Coca-Cola Inc.</t>
  </si>
  <si>
    <t>H&amp;M</t>
  </si>
  <si>
    <t>Nike Inc.</t>
  </si>
  <si>
    <t>Amazon UK</t>
  </si>
  <si>
    <t>Apple EMEA</t>
  </si>
  <si>
    <t>XYZ Limited</t>
  </si>
  <si>
    <t>Pepsi Co</t>
  </si>
  <si>
    <t>Adobe Inc</t>
  </si>
  <si>
    <t>Zara Fashion</t>
  </si>
  <si>
    <t>H&amp;M International</t>
  </si>
  <si>
    <t>Ralph Lauren Int.</t>
  </si>
  <si>
    <t>Adidas Co.</t>
  </si>
  <si>
    <t>P&amp;G Global</t>
  </si>
  <si>
    <t>Commissions by Salesperson</t>
  </si>
  <si>
    <t>Year</t>
  </si>
  <si>
    <t>Figures in USD</t>
  </si>
  <si>
    <t>BILL SMITH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</si>
</sst>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$-409]#,##0"/>
  </numFmts>
  <fonts count="8" x14ac:knownFonts="1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i/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293D68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4">
    <xf numFmtId="0" fontId="0" fillId="0" borderId="0"/>
    <xf numFmtId="0" fontId="1" fillId="0" borderId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</cellStyleXfs>
  <cellXfs count="18">
    <xf numFmtId="0" fontId="0" fillId="0" borderId="0" xfId="0"/>
    <xf numFmtId="1" fontId="0" fillId="0" borderId="0" xfId="0" applyNumberFormat="1"/>
    <xf numFmtId="164" fontId="0" fillId="0" borderId="0" xfId="0" applyNumberFormat="1"/>
    <xf numFmtId="14" fontId="0" fillId="0" borderId="0" xfId="0" applyNumberFormat="1"/>
    <xf numFmtId="0" fontId="0" fillId="0" borderId="0" xfId="0" applyAlignment="1">
      <alignment horizontal="center"/>
    </xf>
    <xf numFmtId="0" fontId="3" fillId="3" borderId="0" xfId="0" applyFont="1" applyFill="1"/>
    <xf numFmtId="1" fontId="0" fillId="0" borderId="0" xfId="0" applyNumberFormat="1" applyAlignment="1">
      <alignment horizontal="left"/>
    </xf>
    <xf numFmtId="14" fontId="0" fillId="0" borderId="0" xfId="0" applyNumberFormat="1" applyAlignment="1">
      <alignment horizontal="center"/>
    </xf>
    <xf numFmtId="0" fontId="2" fillId="2" borderId="0" xfId="0" applyFont="1" applyFill="1" applyAlignment="1">
      <alignment horizontal="center"/>
    </xf>
    <xf numFmtId="0" fontId="2" fillId="2" borderId="0" xfId="0" applyFont="1" applyFill="1" applyAlignment="1">
      <alignment horizontal="left"/>
    </xf>
    <xf numFmtId="164" fontId="0" fillId="0" borderId="0" xfId="0" applyNumberFormat="1" applyAlignment="1">
      <alignment horizontal="center"/>
    </xf>
    <xf numFmtId="0" fontId="5" fillId="0" borderId="0" xfId="0" applyFont="1"/>
    <xf numFmtId="0" fontId="4" fillId="3" borderId="0" xfId="0" applyFont="1" applyFill="1" applyAlignment="1">
      <alignment horizontal="left"/>
    </xf>
    <xf numFmtId="0" fontId="0" fillId="3" borderId="0" xfId="0" applyFill="1" applyAlignment="1">
      <alignment horizontal="center"/>
    </xf>
    <xf numFmtId="0" fontId="3" fillId="4" borderId="0" xfId="0" applyFont="1" applyFill="1"/>
    <xf numFmtId="164" fontId="0" fillId="0" borderId="0" xfId="0" applyNumberFormat="1" applyAlignment="1">
      <alignment horizontal="center" wrapText="1"/>
    </xf>
    <xf numFmtId="0" fontId="2" fillId="2" borderId="0" xfId="0" applyFont="1" applyFill="1" applyAlignment="1">
      <alignment horizontal="center"/>
    </xf>
    <xf numFmtId="0" fontId="2" fillId="4" borderId="0" xfId="0" applyFont="1" applyFill="1" applyAlignment="1">
      <alignment horizontal="center"/>
    </xf>
  </cellXfs>
  <cellStyles count="4">
    <cellStyle name="Hyperlink 2" xfId="2" xr:uid="{11F41662-0E2E-4AB9-91A2-F5929DCBE64E}"/>
    <cellStyle name="Hyperlink 2 2" xfId="3" xr:uid="{5601191D-D5C2-43F3-8DC0-32B8C6D77415}"/>
    <cellStyle name="Normal" xfId="0" builtinId="0"/>
    <cellStyle name="Normal 2" xfId="1" xr:uid="{D5DBC2B4-0E86-41B0-BA22-02A84FEF6138}"/>
  </cellStyles>
  <dxfs count="0"/>
  <tableStyles count="0" defaultTableStyle="TableStyleMedium2" defaultPivotStyle="PivotStyleLight16"/>
  <colors>
    <mruColors>
      <color rgb="FF293D6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A346BD-2B65-1545-929B-D6467C3CBAF5}">
  <dimension ref="A1:I27"/>
  <sheetViews>
    <sheetView showGridLines="0" zoomScale="99" workbookViewId="0">
      <selection activeCell="I4" sqref="I4"/>
    </sheetView>
  </sheetViews>
  <sheetFormatPr defaultColWidth="10.625" defaultRowHeight="15.75" x14ac:dyDescent="0.5"/>
  <cols>
    <col min="2" max="2" width="15.5" bestFit="1" customWidth="1"/>
    <col min="5" max="5" width="11.625" bestFit="1" customWidth="1"/>
    <col min="6" max="6" width="11.125" bestFit="1" customWidth="1"/>
  </cols>
  <sheetData>
    <row r="1" spans="1:9" x14ac:dyDescent="0.5">
      <c r="A1" t="s">
        <v>0</v>
      </c>
    </row>
    <row r="2" spans="1:9" x14ac:dyDescent="0.5">
      <c r="B2" s="8" t="s">
        <v>1</v>
      </c>
      <c r="C2" s="8" t="s">
        <v>2</v>
      </c>
      <c r="D2" s="8" t="s">
        <v>3</v>
      </c>
      <c r="E2" s="8" t="s">
        <v>4</v>
      </c>
      <c r="F2" s="8" t="s">
        <v>5</v>
      </c>
      <c r="H2" s="8" t="s">
        <v>1</v>
      </c>
      <c r="I2" s="8" t="s">
        <v>5</v>
      </c>
    </row>
    <row r="3" spans="1:9" x14ac:dyDescent="0.5">
      <c r="B3" t="s">
        <v>6</v>
      </c>
      <c r="C3" s="1">
        <v>124300</v>
      </c>
      <c r="D3" s="3">
        <v>44754</v>
      </c>
      <c r="E3" s="2">
        <v>5436.33</v>
      </c>
      <c r="F3" s="2">
        <f>E3*0.2</f>
        <v>1087.2660000000001</v>
      </c>
      <c r="H3" t="s">
        <v>7</v>
      </c>
      <c r="I3" s="2">
        <f>VLOOKUP(H3,B3:F24,5)</f>
        <v>1239.48324</v>
      </c>
    </row>
    <row r="4" spans="1:9" x14ac:dyDescent="0.5">
      <c r="B4" t="s">
        <v>7</v>
      </c>
      <c r="C4" s="1">
        <f>C3*1.2</f>
        <v>149160</v>
      </c>
      <c r="D4" s="3">
        <v>44751</v>
      </c>
      <c r="E4" s="2">
        <v>6197.4161999999997</v>
      </c>
      <c r="F4" s="2">
        <f t="shared" ref="F4:F24" si="0">E4*0.2</f>
        <v>1239.48324</v>
      </c>
    </row>
    <row r="5" spans="1:9" x14ac:dyDescent="0.5">
      <c r="B5" t="s">
        <v>8</v>
      </c>
      <c r="C5" s="1">
        <f>C4*1.02</f>
        <v>152143.20000000001</v>
      </c>
      <c r="D5" s="3">
        <v>44753</v>
      </c>
      <c r="E5" s="2">
        <v>7065.0544679999994</v>
      </c>
      <c r="F5" s="2">
        <f t="shared" si="0"/>
        <v>1413.0108935999999</v>
      </c>
    </row>
    <row r="6" spans="1:9" x14ac:dyDescent="0.5">
      <c r="B6" t="s">
        <v>9</v>
      </c>
      <c r="C6" s="1">
        <f>C5*0.8</f>
        <v>121714.56000000001</v>
      </c>
      <c r="D6" s="3">
        <v>44748</v>
      </c>
      <c r="E6" s="2">
        <v>8054.1620935199981</v>
      </c>
      <c r="F6" s="2">
        <f t="shared" si="0"/>
        <v>1610.8324187039998</v>
      </c>
    </row>
    <row r="7" spans="1:9" x14ac:dyDescent="0.5">
      <c r="B7" t="s">
        <v>10</v>
      </c>
      <c r="C7" s="1">
        <f>C6*0.9</f>
        <v>109543.10400000001</v>
      </c>
      <c r="D7" s="3">
        <v>44752</v>
      </c>
      <c r="E7" s="2">
        <v>9181.7447866127968</v>
      </c>
      <c r="F7" s="2">
        <f t="shared" si="0"/>
        <v>1836.3489573225595</v>
      </c>
    </row>
    <row r="8" spans="1:9" x14ac:dyDescent="0.5">
      <c r="B8" t="s">
        <v>11</v>
      </c>
      <c r="C8" s="1">
        <f>C7*1.1</f>
        <v>120497.41440000002</v>
      </c>
      <c r="D8" s="3">
        <v>44755</v>
      </c>
      <c r="E8" s="2">
        <v>10467.189056738587</v>
      </c>
      <c r="F8" s="2">
        <f t="shared" si="0"/>
        <v>2093.4378113477173</v>
      </c>
    </row>
    <row r="9" spans="1:9" x14ac:dyDescent="0.5">
      <c r="B9" t="s">
        <v>12</v>
      </c>
      <c r="C9" s="1">
        <f>C8*1.02</f>
        <v>122907.36268800002</v>
      </c>
      <c r="D9" s="3">
        <v>44757</v>
      </c>
      <c r="E9" s="2">
        <v>2446.3485000000001</v>
      </c>
      <c r="F9" s="2">
        <f t="shared" si="0"/>
        <v>489.26970000000006</v>
      </c>
    </row>
    <row r="10" spans="1:9" x14ac:dyDescent="0.5">
      <c r="B10" t="s">
        <v>13</v>
      </c>
      <c r="C10" s="1">
        <f>C9*0.8</f>
        <v>98325.890150400024</v>
      </c>
      <c r="D10" s="3">
        <v>44754</v>
      </c>
      <c r="E10" s="2">
        <v>2690.9833500000004</v>
      </c>
      <c r="F10" s="2">
        <f t="shared" si="0"/>
        <v>538.19667000000015</v>
      </c>
    </row>
    <row r="11" spans="1:9" x14ac:dyDescent="0.5">
      <c r="B11" t="s">
        <v>14</v>
      </c>
      <c r="C11" s="1">
        <f>C10*0.9</f>
        <v>88493.30113536003</v>
      </c>
      <c r="D11" s="3">
        <v>44756</v>
      </c>
      <c r="E11" s="2">
        <v>2960.0816850000001</v>
      </c>
      <c r="F11" s="2">
        <f t="shared" si="0"/>
        <v>592.01633700000002</v>
      </c>
    </row>
    <row r="12" spans="1:9" x14ac:dyDescent="0.5">
      <c r="B12" t="s">
        <v>15</v>
      </c>
      <c r="C12" s="1">
        <f>C11*1.1</f>
        <v>97342.631248896039</v>
      </c>
      <c r="D12" s="3">
        <v>44751</v>
      </c>
      <c r="E12" s="2">
        <v>3256.0898535000001</v>
      </c>
      <c r="F12" s="2">
        <f t="shared" si="0"/>
        <v>651.21797070000002</v>
      </c>
    </row>
    <row r="13" spans="1:9" x14ac:dyDescent="0.5">
      <c r="B13" t="s">
        <v>16</v>
      </c>
      <c r="C13" s="1">
        <f>C12*1.02</f>
        <v>99289.483873873964</v>
      </c>
      <c r="D13" s="3">
        <v>44755</v>
      </c>
      <c r="E13" s="2">
        <v>3581.6988388500008</v>
      </c>
      <c r="F13" s="2">
        <f t="shared" si="0"/>
        <v>716.33976777000021</v>
      </c>
    </row>
    <row r="14" spans="1:9" x14ac:dyDescent="0.5">
      <c r="B14" t="s">
        <v>17</v>
      </c>
      <c r="C14" s="1">
        <f>C13*0.8</f>
        <v>79431.587099099183</v>
      </c>
      <c r="D14" s="3">
        <v>44758</v>
      </c>
      <c r="E14" s="2">
        <v>3939.8687227350015</v>
      </c>
      <c r="F14" s="2">
        <f t="shared" si="0"/>
        <v>787.97374454700036</v>
      </c>
    </row>
    <row r="15" spans="1:9" x14ac:dyDescent="0.5">
      <c r="B15" t="s">
        <v>18</v>
      </c>
      <c r="C15" s="1">
        <f>C14*0.9</f>
        <v>71488.42838918927</v>
      </c>
      <c r="D15" s="3">
        <v>44760</v>
      </c>
      <c r="E15" s="2">
        <v>4333.855595008502</v>
      </c>
      <c r="F15" s="2">
        <f t="shared" si="0"/>
        <v>866.77111900170041</v>
      </c>
    </row>
    <row r="16" spans="1:9" x14ac:dyDescent="0.5">
      <c r="B16" t="s">
        <v>19</v>
      </c>
      <c r="C16" s="1">
        <f>C15*1.1</f>
        <v>78637.271228108206</v>
      </c>
      <c r="D16" s="3">
        <v>44757</v>
      </c>
      <c r="E16" s="2">
        <v>4767.2411545093528</v>
      </c>
      <c r="F16" s="2">
        <f t="shared" si="0"/>
        <v>953.4482309018706</v>
      </c>
    </row>
    <row r="17" spans="2:6" x14ac:dyDescent="0.5">
      <c r="B17" t="s">
        <v>20</v>
      </c>
      <c r="C17" s="1">
        <f>C16*1.02</f>
        <v>80210.016652670369</v>
      </c>
      <c r="D17" s="3">
        <v>44759</v>
      </c>
      <c r="E17" s="2">
        <v>5243.9652699602884</v>
      </c>
      <c r="F17" s="2">
        <f t="shared" si="0"/>
        <v>1048.7930539920578</v>
      </c>
    </row>
    <row r="18" spans="2:6" x14ac:dyDescent="0.5">
      <c r="B18" t="s">
        <v>21</v>
      </c>
      <c r="C18" s="1">
        <f>C17*0.8</f>
        <v>64168.013322136299</v>
      </c>
      <c r="D18" s="3">
        <v>44754</v>
      </c>
      <c r="E18" s="2">
        <v>5768.3617969563174</v>
      </c>
      <c r="F18" s="2">
        <f t="shared" si="0"/>
        <v>1153.6723593912636</v>
      </c>
    </row>
    <row r="19" spans="2:6" x14ac:dyDescent="0.5">
      <c r="B19" t="s">
        <v>22</v>
      </c>
      <c r="C19" s="1">
        <f>C18*0.9</f>
        <v>57751.211989922667</v>
      </c>
      <c r="D19" s="3">
        <v>44758</v>
      </c>
      <c r="E19" s="2">
        <v>5191.525617260686</v>
      </c>
      <c r="F19" s="2">
        <f t="shared" si="0"/>
        <v>1038.3051234521372</v>
      </c>
    </row>
    <row r="20" spans="2:6" x14ac:dyDescent="0.5">
      <c r="B20" t="s">
        <v>23</v>
      </c>
      <c r="C20" s="1">
        <f>C19*1.1</f>
        <v>63526.333188914941</v>
      </c>
      <c r="D20" s="3">
        <v>44761</v>
      </c>
      <c r="E20" s="2">
        <v>6748.9833024388909</v>
      </c>
      <c r="F20" s="2">
        <f t="shared" si="0"/>
        <v>1349.7966604877784</v>
      </c>
    </row>
    <row r="21" spans="2:6" x14ac:dyDescent="0.5">
      <c r="B21" t="s">
        <v>24</v>
      </c>
      <c r="C21" s="1">
        <f>C20*1.02</f>
        <v>64796.85985269324</v>
      </c>
      <c r="D21" s="3">
        <v>44763</v>
      </c>
      <c r="E21" s="2">
        <v>8773.6782931705584</v>
      </c>
      <c r="F21" s="2">
        <f t="shared" si="0"/>
        <v>1754.7356586341118</v>
      </c>
    </row>
    <row r="22" spans="2:6" x14ac:dyDescent="0.5">
      <c r="B22" t="s">
        <v>25</v>
      </c>
      <c r="C22" s="1">
        <f>C21*0.8</f>
        <v>51837.487882154594</v>
      </c>
      <c r="D22" s="3">
        <v>44760</v>
      </c>
      <c r="E22" s="2">
        <v>11405.781781121728</v>
      </c>
      <c r="F22" s="2">
        <f t="shared" si="0"/>
        <v>2281.1563562243459</v>
      </c>
    </row>
    <row r="23" spans="2:6" x14ac:dyDescent="0.5">
      <c r="B23" t="s">
        <v>26</v>
      </c>
      <c r="C23" s="1">
        <f>C22*0.9</f>
        <v>46653.739093939133</v>
      </c>
      <c r="D23" s="3">
        <v>44762</v>
      </c>
      <c r="E23" s="2">
        <v>6650</v>
      </c>
      <c r="F23" s="2">
        <f t="shared" si="0"/>
        <v>1330</v>
      </c>
    </row>
    <row r="24" spans="2:6" x14ac:dyDescent="0.5">
      <c r="B24" t="s">
        <v>27</v>
      </c>
      <c r="C24" s="1">
        <f>C23*1.1</f>
        <v>51319.113003333048</v>
      </c>
      <c r="D24" s="3">
        <v>44757</v>
      </c>
      <c r="E24" s="2">
        <v>7341</v>
      </c>
      <c r="F24" s="2">
        <f t="shared" si="0"/>
        <v>1468.2</v>
      </c>
    </row>
    <row r="25" spans="2:6" x14ac:dyDescent="0.5">
      <c r="D25" s="3"/>
    </row>
    <row r="26" spans="2:6" x14ac:dyDescent="0.5">
      <c r="D26" s="3"/>
    </row>
    <row r="27" spans="2:6" x14ac:dyDescent="0.5">
      <c r="D27" s="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3E1C43-9A63-1645-8D7E-9A5967365BDE}">
  <dimension ref="B2:X9"/>
  <sheetViews>
    <sheetView showGridLines="0" workbookViewId="0">
      <selection activeCell="C9" sqref="C9"/>
    </sheetView>
  </sheetViews>
  <sheetFormatPr defaultColWidth="10.625" defaultRowHeight="15.75" x14ac:dyDescent="0.5"/>
  <cols>
    <col min="2" max="2" width="11.625" bestFit="1" customWidth="1"/>
  </cols>
  <sheetData>
    <row r="2" spans="2:24" x14ac:dyDescent="0.5">
      <c r="B2" s="9" t="s">
        <v>1</v>
      </c>
      <c r="C2" t="s">
        <v>6</v>
      </c>
      <c r="D2" t="s">
        <v>7</v>
      </c>
      <c r="E2" t="s">
        <v>8</v>
      </c>
      <c r="F2" t="s">
        <v>9</v>
      </c>
      <c r="G2" t="s">
        <v>10</v>
      </c>
      <c r="H2" t="s">
        <v>11</v>
      </c>
      <c r="I2" t="s">
        <v>12</v>
      </c>
      <c r="J2" t="s">
        <v>13</v>
      </c>
      <c r="K2" t="s">
        <v>14</v>
      </c>
      <c r="L2" t="s">
        <v>15</v>
      </c>
      <c r="M2" t="s">
        <v>16</v>
      </c>
      <c r="N2" t="s">
        <v>17</v>
      </c>
      <c r="O2" t="s">
        <v>18</v>
      </c>
      <c r="P2" t="s">
        <v>19</v>
      </c>
      <c r="Q2" t="s">
        <v>20</v>
      </c>
      <c r="R2" t="s">
        <v>21</v>
      </c>
      <c r="S2" t="s">
        <v>22</v>
      </c>
      <c r="T2" t="s">
        <v>23</v>
      </c>
      <c r="U2" t="s">
        <v>24</v>
      </c>
      <c r="V2" t="s">
        <v>25</v>
      </c>
      <c r="W2" t="s">
        <v>26</v>
      </c>
      <c r="X2" t="s">
        <v>27</v>
      </c>
    </row>
    <row r="3" spans="2:24" x14ac:dyDescent="0.5">
      <c r="B3" s="9" t="s">
        <v>2</v>
      </c>
      <c r="C3" s="1">
        <v>124300</v>
      </c>
      <c r="D3" s="1">
        <v>149160</v>
      </c>
      <c r="E3" s="1">
        <v>152143.20000000001</v>
      </c>
      <c r="F3" s="1">
        <v>121714.56000000001</v>
      </c>
      <c r="G3" s="1">
        <v>109543.10400000001</v>
      </c>
      <c r="H3" s="1">
        <v>120497.41440000002</v>
      </c>
      <c r="I3" s="1">
        <v>122907.36268800002</v>
      </c>
      <c r="J3" s="1">
        <v>98325.890150400024</v>
      </c>
      <c r="K3" s="1">
        <v>88493.30113536003</v>
      </c>
      <c r="L3" s="1">
        <v>97342.631248896039</v>
      </c>
      <c r="M3" s="1">
        <v>99289.483873873964</v>
      </c>
      <c r="N3" s="1">
        <v>79431.587099099183</v>
      </c>
      <c r="O3" s="1">
        <v>71488.42838918927</v>
      </c>
      <c r="P3" s="1">
        <v>78637.271228108206</v>
      </c>
      <c r="Q3" s="1">
        <v>80210.016652670369</v>
      </c>
      <c r="R3" s="1">
        <v>64168.013322136299</v>
      </c>
      <c r="S3" s="1">
        <v>57751.211989922667</v>
      </c>
      <c r="T3" s="1">
        <v>63526.333188914941</v>
      </c>
      <c r="U3" s="1">
        <v>64796.85985269324</v>
      </c>
      <c r="V3" s="1">
        <v>51837.487882154594</v>
      </c>
      <c r="W3" s="1">
        <v>46653.739093939133</v>
      </c>
      <c r="X3" s="1">
        <v>51319.113003333048</v>
      </c>
    </row>
    <row r="4" spans="2:24" x14ac:dyDescent="0.5">
      <c r="B4" s="9" t="s">
        <v>3</v>
      </c>
      <c r="C4" s="3">
        <v>44754</v>
      </c>
      <c r="D4" s="3">
        <v>44751</v>
      </c>
      <c r="E4" s="3">
        <v>44753</v>
      </c>
      <c r="F4" s="3">
        <v>44748</v>
      </c>
      <c r="G4" s="3">
        <v>44752</v>
      </c>
      <c r="H4" s="3">
        <v>44755</v>
      </c>
      <c r="I4" s="3">
        <v>44757</v>
      </c>
      <c r="J4" s="3">
        <v>44754</v>
      </c>
      <c r="K4" s="3">
        <v>44756</v>
      </c>
      <c r="L4" s="3">
        <v>44751</v>
      </c>
      <c r="M4" s="3">
        <v>44755</v>
      </c>
      <c r="N4" s="3">
        <v>44758</v>
      </c>
      <c r="O4" s="3">
        <v>44760</v>
      </c>
      <c r="P4" s="3">
        <v>44757</v>
      </c>
      <c r="Q4" s="3">
        <v>44759</v>
      </c>
      <c r="R4" s="3">
        <v>44754</v>
      </c>
      <c r="S4" s="3">
        <v>44758</v>
      </c>
      <c r="T4" s="3">
        <v>44761</v>
      </c>
      <c r="U4" s="3">
        <v>44763</v>
      </c>
      <c r="V4" s="3">
        <v>44760</v>
      </c>
      <c r="W4" s="3">
        <v>44762</v>
      </c>
      <c r="X4" s="3">
        <v>44757</v>
      </c>
    </row>
    <row r="5" spans="2:24" x14ac:dyDescent="0.5">
      <c r="B5" s="9" t="s">
        <v>4</v>
      </c>
      <c r="C5" s="2">
        <v>5436.33</v>
      </c>
      <c r="D5" s="2">
        <v>6197.4161999999997</v>
      </c>
      <c r="E5" s="2">
        <v>7065.0544679999994</v>
      </c>
      <c r="F5" s="2">
        <v>8054.1620935199981</v>
      </c>
      <c r="G5" s="2">
        <v>9181.7447866127968</v>
      </c>
      <c r="H5" s="2">
        <v>10467.189056738587</v>
      </c>
      <c r="I5" s="2">
        <v>2446.3485000000001</v>
      </c>
      <c r="J5" s="2">
        <v>2690.9833500000004</v>
      </c>
      <c r="K5" s="2">
        <v>2960.0816850000001</v>
      </c>
      <c r="L5" s="2">
        <v>3256.0898535000001</v>
      </c>
      <c r="M5" s="2">
        <v>3581.6988388500008</v>
      </c>
      <c r="N5" s="2">
        <v>3939.8687227350015</v>
      </c>
      <c r="O5" s="2">
        <v>4333.855595008502</v>
      </c>
      <c r="P5" s="2">
        <v>4767.2411545093528</v>
      </c>
      <c r="Q5" s="2">
        <v>5243.9652699602884</v>
      </c>
      <c r="R5" s="2">
        <v>5768.3617969563174</v>
      </c>
      <c r="S5" s="2">
        <v>5191.525617260686</v>
      </c>
      <c r="T5" s="2">
        <v>6748.9833024388909</v>
      </c>
      <c r="U5" s="2">
        <v>8773.6782931705584</v>
      </c>
      <c r="V5" s="2">
        <v>11405.781781121728</v>
      </c>
      <c r="W5" s="2">
        <v>6650</v>
      </c>
      <c r="X5" s="2">
        <v>7341</v>
      </c>
    </row>
    <row r="6" spans="2:24" x14ac:dyDescent="0.5">
      <c r="B6" s="9" t="s">
        <v>5</v>
      </c>
      <c r="C6" s="2">
        <v>1087.2660000000001</v>
      </c>
      <c r="D6" s="2">
        <v>1239.48324</v>
      </c>
      <c r="E6" s="2">
        <v>1413.0108935999999</v>
      </c>
      <c r="F6" s="2">
        <v>1610.8324187039998</v>
      </c>
      <c r="G6" s="2">
        <v>1836.3489573225595</v>
      </c>
      <c r="H6" s="2">
        <v>2093.4378113477173</v>
      </c>
      <c r="I6" s="2">
        <v>489.26970000000006</v>
      </c>
      <c r="J6" s="2">
        <v>538.19667000000015</v>
      </c>
      <c r="K6" s="2">
        <v>592.01633700000002</v>
      </c>
      <c r="L6" s="2">
        <v>651.21797070000002</v>
      </c>
      <c r="M6" s="2">
        <v>716.33976777000021</v>
      </c>
      <c r="N6" s="2">
        <v>787.97374454700036</v>
      </c>
      <c r="O6" s="2">
        <v>866.77111900170041</v>
      </c>
      <c r="P6" s="2">
        <v>953.4482309018706</v>
      </c>
      <c r="Q6" s="2">
        <v>1048.7930539920578</v>
      </c>
      <c r="R6" s="2">
        <v>1153.6723593912636</v>
      </c>
      <c r="S6" s="2">
        <v>1038.3051234521372</v>
      </c>
      <c r="T6" s="2">
        <v>1349.7966604877784</v>
      </c>
      <c r="U6" s="2">
        <v>1754.7356586341118</v>
      </c>
      <c r="V6" s="2">
        <v>2281.1563562243459</v>
      </c>
      <c r="W6" s="2">
        <v>1330</v>
      </c>
      <c r="X6" s="2">
        <v>1468.2</v>
      </c>
    </row>
    <row r="8" spans="2:24" x14ac:dyDescent="0.5">
      <c r="B8" s="9" t="s">
        <v>1</v>
      </c>
      <c r="C8" s="9" t="s">
        <v>5</v>
      </c>
    </row>
    <row r="9" spans="2:24" x14ac:dyDescent="0.5">
      <c r="B9" t="s">
        <v>8</v>
      </c>
      <c r="C9" s="2">
        <f>HLOOKUP(B9,C2:X6,5)</f>
        <v>1468.2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DB10D3-CD43-BD43-A41E-8D2C887045CD}">
  <dimension ref="A1:I27"/>
  <sheetViews>
    <sheetView showGridLines="0" topLeftCell="A2" workbookViewId="0">
      <selection activeCell="H9" sqref="H9"/>
    </sheetView>
  </sheetViews>
  <sheetFormatPr defaultColWidth="10.625" defaultRowHeight="15.75" x14ac:dyDescent="0.5"/>
  <cols>
    <col min="4" max="4" width="11.625" bestFit="1" customWidth="1"/>
    <col min="5" max="5" width="11.125" bestFit="1" customWidth="1"/>
    <col min="6" max="6" width="15.5" bestFit="1" customWidth="1"/>
    <col min="7" max="7" width="6.875" customWidth="1"/>
    <col min="8" max="8" width="14.5" customWidth="1"/>
    <col min="9" max="9" width="12.375" bestFit="1" customWidth="1"/>
    <col min="10" max="10" width="8.125" customWidth="1"/>
  </cols>
  <sheetData>
    <row r="1" spans="1:9" x14ac:dyDescent="0.5">
      <c r="A1" t="s">
        <v>0</v>
      </c>
    </row>
    <row r="2" spans="1:9" ht="15.6" customHeight="1" x14ac:dyDescent="0.5">
      <c r="B2" s="8" t="s">
        <v>2</v>
      </c>
      <c r="C2" s="8" t="s">
        <v>3</v>
      </c>
      <c r="D2" s="8" t="s">
        <v>4</v>
      </c>
      <c r="E2" s="8" t="s">
        <v>5</v>
      </c>
      <c r="F2" s="8" t="s">
        <v>1</v>
      </c>
      <c r="H2" s="16" t="s">
        <v>28</v>
      </c>
      <c r="I2" s="16"/>
    </row>
    <row r="3" spans="1:9" x14ac:dyDescent="0.5">
      <c r="B3" s="6">
        <v>124300</v>
      </c>
      <c r="C3" s="7">
        <v>44754</v>
      </c>
      <c r="D3" s="10">
        <v>5436.33</v>
      </c>
      <c r="E3" s="10">
        <f>D3*0.2</f>
        <v>1087.2660000000001</v>
      </c>
      <c r="F3" t="s">
        <v>6</v>
      </c>
      <c r="H3" s="5" t="s">
        <v>1</v>
      </c>
      <c r="I3" s="5" t="s">
        <v>5</v>
      </c>
    </row>
    <row r="4" spans="1:9" x14ac:dyDescent="0.5">
      <c r="B4" s="6">
        <f>B3*1.2</f>
        <v>149160</v>
      </c>
      <c r="C4" s="7">
        <v>44751</v>
      </c>
      <c r="D4" s="10">
        <v>6197.4161999999997</v>
      </c>
      <c r="E4" s="10">
        <f t="shared" ref="E4:E24" si="0">D4*0.2</f>
        <v>1239.48324</v>
      </c>
      <c r="F4" t="s">
        <v>7</v>
      </c>
      <c r="H4" t="s">
        <v>18</v>
      </c>
      <c r="I4" s="2">
        <f>_xlfn.XLOOKUP(H4,F3:F24,E3:E24)</f>
        <v>866.77111900170041</v>
      </c>
    </row>
    <row r="5" spans="1:9" x14ac:dyDescent="0.5">
      <c r="B5" s="6">
        <f>B4*1.02</f>
        <v>152143.20000000001</v>
      </c>
      <c r="C5" s="7">
        <v>44753</v>
      </c>
      <c r="D5" s="10">
        <v>7065.0544679999994</v>
      </c>
      <c r="E5" s="10">
        <f t="shared" si="0"/>
        <v>1413.0108935999999</v>
      </c>
      <c r="F5" t="s">
        <v>8</v>
      </c>
    </row>
    <row r="6" spans="1:9" ht="15.6" customHeight="1" x14ac:dyDescent="0.5">
      <c r="B6" s="6">
        <f>B5*0.8</f>
        <v>121714.56000000001</v>
      </c>
      <c r="C6" s="7">
        <v>44748</v>
      </c>
      <c r="D6" s="10">
        <v>8054.1620935199981</v>
      </c>
      <c r="E6" s="10">
        <f t="shared" si="0"/>
        <v>1610.8324187039998</v>
      </c>
      <c r="F6" t="s">
        <v>9</v>
      </c>
      <c r="H6" s="17"/>
      <c r="I6" s="17"/>
    </row>
    <row r="7" spans="1:9" x14ac:dyDescent="0.5">
      <c r="B7" s="6">
        <f>B6*0.9</f>
        <v>109543.10400000001</v>
      </c>
      <c r="C7" s="7">
        <v>44752</v>
      </c>
      <c r="D7" s="10">
        <v>9181.7447866127968</v>
      </c>
      <c r="E7" s="10">
        <f t="shared" si="0"/>
        <v>1836.3489573225595</v>
      </c>
      <c r="F7" t="s">
        <v>10</v>
      </c>
      <c r="H7" s="14"/>
      <c r="I7" s="14"/>
    </row>
    <row r="8" spans="1:9" x14ac:dyDescent="0.5">
      <c r="B8" s="6">
        <f>B7*1.1</f>
        <v>120497.41440000002</v>
      </c>
      <c r="C8" s="7">
        <v>44755</v>
      </c>
      <c r="D8" s="10">
        <v>10467.189056738587</v>
      </c>
      <c r="E8" s="10">
        <f t="shared" si="0"/>
        <v>2093.4378113477173</v>
      </c>
      <c r="F8" t="s">
        <v>11</v>
      </c>
      <c r="I8" s="2"/>
    </row>
    <row r="9" spans="1:9" x14ac:dyDescent="0.5">
      <c r="B9" s="6">
        <f>B8*1.02</f>
        <v>122907.36268800002</v>
      </c>
      <c r="C9" s="7">
        <v>44757</v>
      </c>
      <c r="D9" s="10">
        <v>2446.3485000000001</v>
      </c>
      <c r="E9" s="10">
        <f t="shared" si="0"/>
        <v>489.26970000000006</v>
      </c>
      <c r="F9" t="s">
        <v>12</v>
      </c>
    </row>
    <row r="10" spans="1:9" x14ac:dyDescent="0.5">
      <c r="B10" s="6">
        <f>B9*0.8</f>
        <v>98325.890150400024</v>
      </c>
      <c r="C10" s="7">
        <v>44754</v>
      </c>
      <c r="D10" s="10">
        <v>2690.9833500000004</v>
      </c>
      <c r="E10" s="10">
        <f t="shared" si="0"/>
        <v>538.19667000000015</v>
      </c>
      <c r="F10" t="s">
        <v>13</v>
      </c>
    </row>
    <row r="11" spans="1:9" x14ac:dyDescent="0.5">
      <c r="B11" s="6">
        <f>B10*0.9</f>
        <v>88493.30113536003</v>
      </c>
      <c r="C11" s="7">
        <v>44756</v>
      </c>
      <c r="D11" s="10">
        <v>2960.0816850000001</v>
      </c>
      <c r="E11" s="10">
        <f t="shared" si="0"/>
        <v>592.01633700000002</v>
      </c>
      <c r="F11" t="s">
        <v>14</v>
      </c>
    </row>
    <row r="12" spans="1:9" x14ac:dyDescent="0.5">
      <c r="B12" s="6">
        <f>B11*1.1</f>
        <v>97342.631248896039</v>
      </c>
      <c r="C12" s="7">
        <v>44751</v>
      </c>
      <c r="D12" s="10">
        <v>3256.0898535000001</v>
      </c>
      <c r="E12" s="10">
        <f t="shared" si="0"/>
        <v>651.21797070000002</v>
      </c>
      <c r="F12" t="s">
        <v>15</v>
      </c>
    </row>
    <row r="13" spans="1:9" x14ac:dyDescent="0.5">
      <c r="B13" s="6">
        <f>B12*1.02</f>
        <v>99289.483873873964</v>
      </c>
      <c r="C13" s="7">
        <v>44755</v>
      </c>
      <c r="D13" s="10">
        <v>3581.6988388500008</v>
      </c>
      <c r="E13" s="10">
        <f t="shared" si="0"/>
        <v>716.33976777000021</v>
      </c>
      <c r="F13" t="s">
        <v>16</v>
      </c>
    </row>
    <row r="14" spans="1:9" x14ac:dyDescent="0.5">
      <c r="B14" s="6">
        <f>B13*0.8</f>
        <v>79431.587099099183</v>
      </c>
      <c r="C14" s="7">
        <v>44758</v>
      </c>
      <c r="D14" s="10">
        <v>3939.8687227350015</v>
      </c>
      <c r="E14" s="10">
        <f t="shared" si="0"/>
        <v>787.97374454700036</v>
      </c>
      <c r="F14" t="s">
        <v>17</v>
      </c>
    </row>
    <row r="15" spans="1:9" x14ac:dyDescent="0.5">
      <c r="B15" s="6">
        <f>B14*0.9</f>
        <v>71488.42838918927</v>
      </c>
      <c r="C15" s="7">
        <v>44760</v>
      </c>
      <c r="D15" s="10">
        <v>4333.855595008502</v>
      </c>
      <c r="E15" s="10">
        <f t="shared" si="0"/>
        <v>866.77111900170041</v>
      </c>
      <c r="F15" t="s">
        <v>18</v>
      </c>
    </row>
    <row r="16" spans="1:9" x14ac:dyDescent="0.5">
      <c r="B16" s="6">
        <f>B15*1.1</f>
        <v>78637.271228108206</v>
      </c>
      <c r="C16" s="7">
        <v>44757</v>
      </c>
      <c r="D16" s="10">
        <v>4767.2411545093528</v>
      </c>
      <c r="E16" s="10">
        <f t="shared" si="0"/>
        <v>953.4482309018706</v>
      </c>
      <c r="F16" t="s">
        <v>19</v>
      </c>
    </row>
    <row r="17" spans="2:6" x14ac:dyDescent="0.5">
      <c r="B17" s="6">
        <f>B16*1.02</f>
        <v>80210.016652670369</v>
      </c>
      <c r="C17" s="7">
        <v>44759</v>
      </c>
      <c r="D17" s="10">
        <v>5243.9652699602884</v>
      </c>
      <c r="E17" s="10">
        <f t="shared" si="0"/>
        <v>1048.7930539920578</v>
      </c>
      <c r="F17" t="s">
        <v>20</v>
      </c>
    </row>
    <row r="18" spans="2:6" x14ac:dyDescent="0.5">
      <c r="B18" s="6">
        <f>B17*0.8</f>
        <v>64168.013322136299</v>
      </c>
      <c r="C18" s="7">
        <v>44754</v>
      </c>
      <c r="D18" s="10">
        <v>5768.3617969563174</v>
      </c>
      <c r="E18" s="10">
        <f t="shared" si="0"/>
        <v>1153.6723593912636</v>
      </c>
      <c r="F18" t="s">
        <v>21</v>
      </c>
    </row>
    <row r="19" spans="2:6" x14ac:dyDescent="0.5">
      <c r="B19" s="6">
        <f>B18*0.9</f>
        <v>57751.211989922667</v>
      </c>
      <c r="C19" s="7">
        <v>44758</v>
      </c>
      <c r="D19" s="10">
        <v>5191.525617260686</v>
      </c>
      <c r="E19" s="10">
        <f t="shared" si="0"/>
        <v>1038.3051234521372</v>
      </c>
      <c r="F19" t="s">
        <v>22</v>
      </c>
    </row>
    <row r="20" spans="2:6" x14ac:dyDescent="0.5">
      <c r="B20" s="6">
        <f>B19*1.1</f>
        <v>63526.333188914941</v>
      </c>
      <c r="C20" s="7">
        <v>44761</v>
      </c>
      <c r="D20" s="10">
        <v>6748.9833024388909</v>
      </c>
      <c r="E20" s="10">
        <f t="shared" si="0"/>
        <v>1349.7966604877784</v>
      </c>
      <c r="F20" t="s">
        <v>23</v>
      </c>
    </row>
    <row r="21" spans="2:6" x14ac:dyDescent="0.5">
      <c r="B21" s="6">
        <f>B20*1.02</f>
        <v>64796.85985269324</v>
      </c>
      <c r="C21" s="7">
        <v>44763</v>
      </c>
      <c r="D21" s="10">
        <v>8773.6782931705584</v>
      </c>
      <c r="E21" s="10">
        <f t="shared" si="0"/>
        <v>1754.7356586341118</v>
      </c>
      <c r="F21" t="s">
        <v>24</v>
      </c>
    </row>
    <row r="22" spans="2:6" x14ac:dyDescent="0.5">
      <c r="B22" s="6">
        <f>B21*0.8</f>
        <v>51837.487882154594</v>
      </c>
      <c r="C22" s="7">
        <v>44760</v>
      </c>
      <c r="D22" s="10">
        <v>11405.781781121728</v>
      </c>
      <c r="E22" s="10">
        <f t="shared" si="0"/>
        <v>2281.1563562243459</v>
      </c>
      <c r="F22" t="s">
        <v>25</v>
      </c>
    </row>
    <row r="23" spans="2:6" x14ac:dyDescent="0.5">
      <c r="B23" s="6">
        <f>B22*0.9</f>
        <v>46653.739093939133</v>
      </c>
      <c r="C23" s="7">
        <v>44762</v>
      </c>
      <c r="D23" s="10">
        <v>6650</v>
      </c>
      <c r="E23" s="10">
        <f t="shared" si="0"/>
        <v>1330</v>
      </c>
      <c r="F23" t="s">
        <v>26</v>
      </c>
    </row>
    <row r="24" spans="2:6" x14ac:dyDescent="0.5">
      <c r="B24" s="6">
        <f>B23*1.1</f>
        <v>51319.113003333048</v>
      </c>
      <c r="C24" s="7">
        <v>44757</v>
      </c>
      <c r="D24" s="10">
        <v>7341</v>
      </c>
      <c r="E24" s="10">
        <f t="shared" si="0"/>
        <v>1468.2</v>
      </c>
      <c r="F24" t="s">
        <v>27</v>
      </c>
    </row>
    <row r="25" spans="2:6" x14ac:dyDescent="0.5">
      <c r="C25" s="3"/>
    </row>
    <row r="26" spans="2:6" x14ac:dyDescent="0.5">
      <c r="C26" s="3"/>
    </row>
    <row r="27" spans="2:6" x14ac:dyDescent="0.5">
      <c r="C27" s="3"/>
    </row>
  </sheetData>
  <mergeCells count="2">
    <mergeCell ref="H2:I2"/>
    <mergeCell ref="H6:I6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AE7F9C-C01C-604D-A964-3A6C9DDAF7A5}">
  <dimension ref="A1:I27"/>
  <sheetViews>
    <sheetView showGridLines="0" workbookViewId="0">
      <selection activeCell="I9" sqref="I9"/>
    </sheetView>
  </sheetViews>
  <sheetFormatPr defaultColWidth="10.625" defaultRowHeight="15.75" x14ac:dyDescent="0.5"/>
  <cols>
    <col min="4" max="4" width="11.625" bestFit="1" customWidth="1"/>
    <col min="5" max="5" width="11.125" bestFit="1" customWidth="1"/>
    <col min="6" max="6" width="15.5" bestFit="1" customWidth="1"/>
    <col min="7" max="7" width="6.875" customWidth="1"/>
    <col min="8" max="8" width="12.25" bestFit="1" customWidth="1"/>
    <col min="9" max="9" width="17.625" bestFit="1" customWidth="1"/>
    <col min="10" max="10" width="8.125" customWidth="1"/>
  </cols>
  <sheetData>
    <row r="1" spans="1:9" x14ac:dyDescent="0.5">
      <c r="A1" t="s">
        <v>0</v>
      </c>
    </row>
    <row r="2" spans="1:9" x14ac:dyDescent="0.5">
      <c r="B2" s="8" t="s">
        <v>2</v>
      </c>
      <c r="C2" s="8" t="s">
        <v>3</v>
      </c>
      <c r="D2" s="8" t="s">
        <v>4</v>
      </c>
      <c r="E2" s="8" t="s">
        <v>5</v>
      </c>
      <c r="F2" s="8" t="s">
        <v>1</v>
      </c>
      <c r="H2" s="17"/>
      <c r="I2" s="17"/>
    </row>
    <row r="3" spans="1:9" x14ac:dyDescent="0.5">
      <c r="B3" s="6">
        <v>124300</v>
      </c>
      <c r="C3" s="7">
        <v>44754</v>
      </c>
      <c r="D3" s="10">
        <v>5436.33</v>
      </c>
      <c r="E3" s="10">
        <f>D3*0.2</f>
        <v>1087.2660000000001</v>
      </c>
      <c r="F3" t="s">
        <v>6</v>
      </c>
      <c r="H3" s="14"/>
      <c r="I3" s="14"/>
    </row>
    <row r="4" spans="1:9" x14ac:dyDescent="0.5">
      <c r="B4" s="6">
        <f>B3*1.2</f>
        <v>149160</v>
      </c>
      <c r="C4" s="7">
        <v>44751</v>
      </c>
      <c r="D4" s="10">
        <v>6197.4161999999997</v>
      </c>
      <c r="E4" s="10">
        <f t="shared" ref="E4:E24" si="0">D4*0.2</f>
        <v>1239.48324</v>
      </c>
      <c r="F4" t="s">
        <v>7</v>
      </c>
      <c r="I4" s="2"/>
    </row>
    <row r="5" spans="1:9" x14ac:dyDescent="0.5">
      <c r="B5" s="6">
        <f>B4*1.02</f>
        <v>152143.20000000001</v>
      </c>
      <c r="C5" s="7">
        <v>44753</v>
      </c>
      <c r="D5" s="10">
        <v>7065.0544679999994</v>
      </c>
      <c r="E5" s="10">
        <f t="shared" si="0"/>
        <v>1413.0108935999999</v>
      </c>
      <c r="F5" t="s">
        <v>8</v>
      </c>
    </row>
    <row r="6" spans="1:9" x14ac:dyDescent="0.5">
      <c r="B6" s="6">
        <f>B5*0.8</f>
        <v>121714.56000000001</v>
      </c>
      <c r="C6" s="7">
        <v>44748</v>
      </c>
      <c r="D6" s="10">
        <v>8054.1620935199981</v>
      </c>
      <c r="E6" s="10">
        <f t="shared" si="0"/>
        <v>1610.8324187039998</v>
      </c>
      <c r="F6" t="s">
        <v>9</v>
      </c>
      <c r="H6" s="16" t="s">
        <v>28</v>
      </c>
      <c r="I6" s="16"/>
    </row>
    <row r="7" spans="1:9" x14ac:dyDescent="0.5">
      <c r="B7" s="6">
        <f>B6*0.9</f>
        <v>109543.10400000001</v>
      </c>
      <c r="C7" s="7">
        <v>44752</v>
      </c>
      <c r="D7" s="10">
        <v>9181.7447866127968</v>
      </c>
      <c r="E7" s="10">
        <f t="shared" si="0"/>
        <v>1836.3489573225595</v>
      </c>
      <c r="F7" t="s">
        <v>10</v>
      </c>
      <c r="H7" s="5" t="s">
        <v>1</v>
      </c>
      <c r="I7" s="5" t="s">
        <v>5</v>
      </c>
    </row>
    <row r="8" spans="1:9" x14ac:dyDescent="0.5">
      <c r="B8" s="6">
        <f>B7*1.1</f>
        <v>120497.41440000002</v>
      </c>
      <c r="C8" s="7">
        <v>44755</v>
      </c>
      <c r="D8" s="10">
        <v>10467.189056738587</v>
      </c>
      <c r="E8" s="10">
        <f t="shared" si="0"/>
        <v>2093.4378113477173</v>
      </c>
      <c r="F8" t="s">
        <v>11</v>
      </c>
      <c r="H8" t="s">
        <v>29</v>
      </c>
      <c r="I8" s="2" t="str">
        <f>_xlfn.XLOOKUP(H8,F3:F24,E3:E24,"NO VALUE")</f>
        <v>NO VALUE</v>
      </c>
    </row>
    <row r="9" spans="1:9" x14ac:dyDescent="0.5">
      <c r="B9" s="6">
        <f>B8*1.02</f>
        <v>122907.36268800002</v>
      </c>
      <c r="C9" s="7">
        <v>44757</v>
      </c>
      <c r="D9" s="10">
        <v>2446.3485000000001</v>
      </c>
      <c r="E9" s="10">
        <f t="shared" si="0"/>
        <v>489.26970000000006</v>
      </c>
      <c r="F9" t="s">
        <v>12</v>
      </c>
    </row>
    <row r="10" spans="1:9" x14ac:dyDescent="0.5">
      <c r="B10" s="6">
        <f>B9*0.8</f>
        <v>98325.890150400024</v>
      </c>
      <c r="C10" s="7">
        <v>44754</v>
      </c>
      <c r="D10" s="10">
        <v>2690.9833500000004</v>
      </c>
      <c r="E10" s="10">
        <f t="shared" si="0"/>
        <v>538.19667000000015</v>
      </c>
      <c r="F10" t="s">
        <v>13</v>
      </c>
    </row>
    <row r="11" spans="1:9" x14ac:dyDescent="0.5">
      <c r="B11" s="6">
        <f>B10*0.9</f>
        <v>88493.30113536003</v>
      </c>
      <c r="C11" s="7">
        <v>44756</v>
      </c>
      <c r="D11" s="10">
        <v>2960.0816850000001</v>
      </c>
      <c r="E11" s="10">
        <f t="shared" si="0"/>
        <v>592.01633700000002</v>
      </c>
      <c r="F11" t="s">
        <v>14</v>
      </c>
    </row>
    <row r="12" spans="1:9" x14ac:dyDescent="0.5">
      <c r="B12" s="6">
        <f>B11*1.1</f>
        <v>97342.631248896039</v>
      </c>
      <c r="C12" s="7">
        <v>44751</v>
      </c>
      <c r="D12" s="10">
        <v>3256.0898535000001</v>
      </c>
      <c r="E12" s="10">
        <f t="shared" si="0"/>
        <v>651.21797070000002</v>
      </c>
      <c r="F12" t="s">
        <v>15</v>
      </c>
    </row>
    <row r="13" spans="1:9" x14ac:dyDescent="0.5">
      <c r="B13" s="6">
        <f>B12*1.02</f>
        <v>99289.483873873964</v>
      </c>
      <c r="C13" s="7">
        <v>44755</v>
      </c>
      <c r="D13" s="10">
        <v>3581.6988388500008</v>
      </c>
      <c r="E13" s="10">
        <f t="shared" si="0"/>
        <v>716.33976777000021</v>
      </c>
      <c r="F13" t="s">
        <v>16</v>
      </c>
    </row>
    <row r="14" spans="1:9" x14ac:dyDescent="0.5">
      <c r="B14" s="6">
        <f>B13*0.8</f>
        <v>79431.587099099183</v>
      </c>
      <c r="C14" s="7">
        <v>44758</v>
      </c>
      <c r="D14" s="10">
        <v>3939.8687227350015</v>
      </c>
      <c r="E14" s="10">
        <f t="shared" si="0"/>
        <v>787.97374454700036</v>
      </c>
      <c r="F14" t="s">
        <v>17</v>
      </c>
    </row>
    <row r="15" spans="1:9" x14ac:dyDescent="0.5">
      <c r="B15" s="6">
        <f>B14*0.9</f>
        <v>71488.42838918927</v>
      </c>
      <c r="C15" s="7">
        <v>44760</v>
      </c>
      <c r="D15" s="10">
        <v>4333.855595008502</v>
      </c>
      <c r="E15" s="10">
        <f t="shared" si="0"/>
        <v>866.77111900170041</v>
      </c>
      <c r="F15" t="s">
        <v>18</v>
      </c>
    </row>
    <row r="16" spans="1:9" x14ac:dyDescent="0.5">
      <c r="B16" s="6">
        <f>B15*1.1</f>
        <v>78637.271228108206</v>
      </c>
      <c r="C16" s="7">
        <v>44757</v>
      </c>
      <c r="D16" s="10">
        <v>4767.2411545093528</v>
      </c>
      <c r="E16" s="10">
        <f t="shared" si="0"/>
        <v>953.4482309018706</v>
      </c>
      <c r="F16" t="s">
        <v>19</v>
      </c>
    </row>
    <row r="17" spans="2:6" x14ac:dyDescent="0.5">
      <c r="B17" s="6">
        <f>B16*1.02</f>
        <v>80210.016652670369</v>
      </c>
      <c r="C17" s="7">
        <v>44759</v>
      </c>
      <c r="D17" s="10">
        <v>5243.9652699602884</v>
      </c>
      <c r="E17" s="10">
        <f t="shared" si="0"/>
        <v>1048.7930539920578</v>
      </c>
      <c r="F17" t="s">
        <v>20</v>
      </c>
    </row>
    <row r="18" spans="2:6" x14ac:dyDescent="0.5">
      <c r="B18" s="6">
        <f>B17*0.8</f>
        <v>64168.013322136299</v>
      </c>
      <c r="C18" s="7">
        <v>44754</v>
      </c>
      <c r="D18" s="10">
        <v>5768.3617969563174</v>
      </c>
      <c r="E18" s="10">
        <f t="shared" si="0"/>
        <v>1153.6723593912636</v>
      </c>
      <c r="F18" t="s">
        <v>21</v>
      </c>
    </row>
    <row r="19" spans="2:6" x14ac:dyDescent="0.5">
      <c r="B19" s="6">
        <f>B18*0.9</f>
        <v>57751.211989922667</v>
      </c>
      <c r="C19" s="7">
        <v>44758</v>
      </c>
      <c r="D19" s="10">
        <v>5191.525617260686</v>
      </c>
      <c r="E19" s="10">
        <f t="shared" si="0"/>
        <v>1038.3051234521372</v>
      </c>
      <c r="F19" t="s">
        <v>22</v>
      </c>
    </row>
    <row r="20" spans="2:6" x14ac:dyDescent="0.5">
      <c r="B20" s="6">
        <f>B19*1.1</f>
        <v>63526.333188914941</v>
      </c>
      <c r="C20" s="7">
        <v>44761</v>
      </c>
      <c r="D20" s="10">
        <v>6748.9833024388909</v>
      </c>
      <c r="E20" s="10">
        <f t="shared" si="0"/>
        <v>1349.7966604877784</v>
      </c>
      <c r="F20" t="s">
        <v>23</v>
      </c>
    </row>
    <row r="21" spans="2:6" x14ac:dyDescent="0.5">
      <c r="B21" s="6">
        <f>B20*1.02</f>
        <v>64796.85985269324</v>
      </c>
      <c r="C21" s="7">
        <v>44763</v>
      </c>
      <c r="D21" s="10">
        <v>8773.6782931705584</v>
      </c>
      <c r="E21" s="10">
        <f t="shared" si="0"/>
        <v>1754.7356586341118</v>
      </c>
      <c r="F21" t="s">
        <v>24</v>
      </c>
    </row>
    <row r="22" spans="2:6" x14ac:dyDescent="0.5">
      <c r="B22" s="6">
        <f>B21*0.8</f>
        <v>51837.487882154594</v>
      </c>
      <c r="C22" s="7">
        <v>44760</v>
      </c>
      <c r="D22" s="10">
        <v>11405.781781121728</v>
      </c>
      <c r="E22" s="10">
        <f t="shared" si="0"/>
        <v>2281.1563562243459</v>
      </c>
      <c r="F22" t="s">
        <v>25</v>
      </c>
    </row>
    <row r="23" spans="2:6" x14ac:dyDescent="0.5">
      <c r="B23" s="6">
        <f>B22*0.9</f>
        <v>46653.739093939133</v>
      </c>
      <c r="C23" s="7">
        <v>44762</v>
      </c>
      <c r="D23" s="10">
        <v>6650</v>
      </c>
      <c r="E23" s="10">
        <f t="shared" si="0"/>
        <v>1330</v>
      </c>
      <c r="F23" t="s">
        <v>26</v>
      </c>
    </row>
    <row r="24" spans="2:6" x14ac:dyDescent="0.5">
      <c r="B24" s="6">
        <f>B23*1.1</f>
        <v>51319.113003333048</v>
      </c>
      <c r="C24" s="7">
        <v>44757</v>
      </c>
      <c r="D24" s="10">
        <v>7341</v>
      </c>
      <c r="E24" s="10">
        <f t="shared" si="0"/>
        <v>1468.2</v>
      </c>
      <c r="F24" t="s">
        <v>27</v>
      </c>
    </row>
    <row r="25" spans="2:6" x14ac:dyDescent="0.5">
      <c r="C25" s="3"/>
    </row>
    <row r="26" spans="2:6" x14ac:dyDescent="0.5">
      <c r="C26" s="3"/>
    </row>
    <row r="27" spans="2:6" x14ac:dyDescent="0.5">
      <c r="C27" s="3"/>
    </row>
  </sheetData>
  <mergeCells count="2">
    <mergeCell ref="H2:I2"/>
    <mergeCell ref="H6:I6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EEC7B8-F9A1-144F-8C53-E5CA76ABA69D}">
  <dimension ref="A1:J27"/>
  <sheetViews>
    <sheetView showGridLines="0" topLeftCell="B1" workbookViewId="0">
      <selection activeCell="H4" sqref="H4"/>
    </sheetView>
  </sheetViews>
  <sheetFormatPr defaultColWidth="10.625" defaultRowHeight="15.75" x14ac:dyDescent="0.5"/>
  <cols>
    <col min="2" max="2" width="15.5" bestFit="1" customWidth="1"/>
    <col min="5" max="5" width="11.625" bestFit="1" customWidth="1"/>
    <col min="6" max="6" width="11.125" bestFit="1" customWidth="1"/>
    <col min="7" max="7" width="6.875" customWidth="1"/>
    <col min="8" max="8" width="11.875" bestFit="1" customWidth="1"/>
    <col min="9" max="9" width="12.375" bestFit="1" customWidth="1"/>
    <col min="10" max="10" width="11.125" bestFit="1" customWidth="1"/>
  </cols>
  <sheetData>
    <row r="1" spans="1:10" x14ac:dyDescent="0.5">
      <c r="A1" t="s">
        <v>0</v>
      </c>
    </row>
    <row r="2" spans="1:10" x14ac:dyDescent="0.5">
      <c r="B2" s="8" t="s">
        <v>1</v>
      </c>
      <c r="C2" s="8" t="s">
        <v>2</v>
      </c>
      <c r="D2" s="8" t="s">
        <v>3</v>
      </c>
      <c r="E2" s="8" t="s">
        <v>4</v>
      </c>
      <c r="F2" s="8" t="s">
        <v>5</v>
      </c>
      <c r="H2" s="8" t="s">
        <v>1</v>
      </c>
      <c r="I2" s="8" t="s">
        <v>4</v>
      </c>
      <c r="J2" s="8" t="s">
        <v>5</v>
      </c>
    </row>
    <row r="3" spans="1:10" x14ac:dyDescent="0.5">
      <c r="B3" t="s">
        <v>6</v>
      </c>
      <c r="C3" s="6">
        <v>124300</v>
      </c>
      <c r="D3" s="7">
        <v>44754</v>
      </c>
      <c r="E3" s="10">
        <v>5436.33</v>
      </c>
      <c r="F3" s="10">
        <f>E3*0.2</f>
        <v>1087.2660000000001</v>
      </c>
      <c r="H3" t="s">
        <v>48</v>
      </c>
      <c r="I3" cm="1">
        <f t="array" ref="I3:J3">_xlfn.XLOOKUP(H3,B3:B24,E3:F24,"NO VALUE")</f>
        <v>7341</v>
      </c>
      <c r="J3" s="2">
        <v>1468.2</v>
      </c>
    </row>
    <row r="4" spans="1:10" x14ac:dyDescent="0.5">
      <c r="B4" t="s">
        <v>7</v>
      </c>
      <c r="C4" s="6">
        <f>C3*1.2</f>
        <v>149160</v>
      </c>
      <c r="D4" s="7">
        <v>44751</v>
      </c>
      <c r="E4" s="10">
        <v>6197.4161999999997</v>
      </c>
      <c r="F4" s="10">
        <f t="shared" ref="F4:F24" si="0">E4*0.2</f>
        <v>1239.48324</v>
      </c>
    </row>
    <row r="5" spans="1:10" x14ac:dyDescent="0.5">
      <c r="B5" t="s">
        <v>8</v>
      </c>
      <c r="C5" s="6">
        <f>C4*1.02</f>
        <v>152143.20000000001</v>
      </c>
      <c r="D5" s="7">
        <v>44753</v>
      </c>
      <c r="E5" s="10">
        <v>7065.0544679999994</v>
      </c>
      <c r="F5" s="10">
        <f t="shared" si="0"/>
        <v>1413.0108935999999</v>
      </c>
    </row>
    <row r="6" spans="1:10" x14ac:dyDescent="0.5">
      <c r="B6" t="s">
        <v>9</v>
      </c>
      <c r="C6" s="6">
        <f>C5*0.8</f>
        <v>121714.56000000001</v>
      </c>
      <c r="D6" s="7">
        <v>44748</v>
      </c>
      <c r="E6" s="10">
        <v>8054.1620935199981</v>
      </c>
      <c r="F6" s="10">
        <f t="shared" si="0"/>
        <v>1610.8324187039998</v>
      </c>
    </row>
    <row r="7" spans="1:10" x14ac:dyDescent="0.5">
      <c r="B7" t="s">
        <v>10</v>
      </c>
      <c r="C7" s="6">
        <f>C6*0.9</f>
        <v>109543.10400000001</v>
      </c>
      <c r="D7" s="7">
        <v>44752</v>
      </c>
      <c r="E7" s="10">
        <v>9181.7447866127968</v>
      </c>
      <c r="F7" s="10">
        <f t="shared" si="0"/>
        <v>1836.3489573225595</v>
      </c>
    </row>
    <row r="8" spans="1:10" x14ac:dyDescent="0.5">
      <c r="B8" t="s">
        <v>11</v>
      </c>
      <c r="C8" s="6">
        <f>C7*1.1</f>
        <v>120497.41440000002</v>
      </c>
      <c r="D8" s="7">
        <v>44755</v>
      </c>
      <c r="E8" s="10">
        <v>10467.189056738587</v>
      </c>
      <c r="F8" s="10">
        <f t="shared" si="0"/>
        <v>2093.4378113477173</v>
      </c>
    </row>
    <row r="9" spans="1:10" x14ac:dyDescent="0.5">
      <c r="B9" t="s">
        <v>12</v>
      </c>
      <c r="C9" s="6">
        <f>C8*1.02</f>
        <v>122907.36268800002</v>
      </c>
      <c r="D9" s="7">
        <v>44757</v>
      </c>
      <c r="E9" s="10">
        <v>2446.3485000000001</v>
      </c>
      <c r="F9" s="10">
        <f t="shared" si="0"/>
        <v>489.26970000000006</v>
      </c>
    </row>
    <row r="10" spans="1:10" x14ac:dyDescent="0.5">
      <c r="B10" t="s">
        <v>13</v>
      </c>
      <c r="C10" s="6">
        <f>C9*0.8</f>
        <v>98325.890150400024</v>
      </c>
      <c r="D10" s="7">
        <v>44754</v>
      </c>
      <c r="E10" s="10">
        <v>2690.9833500000004</v>
      </c>
      <c r="F10" s="10">
        <f t="shared" si="0"/>
        <v>538.19667000000015</v>
      </c>
    </row>
    <row r="11" spans="1:10" x14ac:dyDescent="0.5">
      <c r="B11" t="s">
        <v>14</v>
      </c>
      <c r="C11" s="6">
        <f>C10*0.9</f>
        <v>88493.30113536003</v>
      </c>
      <c r="D11" s="7">
        <v>44756</v>
      </c>
      <c r="E11" s="10">
        <v>2960.0816850000001</v>
      </c>
      <c r="F11" s="10">
        <f t="shared" si="0"/>
        <v>592.01633700000002</v>
      </c>
    </row>
    <row r="12" spans="1:10" x14ac:dyDescent="0.5">
      <c r="B12" t="s">
        <v>15</v>
      </c>
      <c r="C12" s="6">
        <f>C11*1.1</f>
        <v>97342.631248896039</v>
      </c>
      <c r="D12" s="7">
        <v>44751</v>
      </c>
      <c r="E12" s="10">
        <v>3256.0898535000001</v>
      </c>
      <c r="F12" s="10">
        <f t="shared" si="0"/>
        <v>651.21797070000002</v>
      </c>
    </row>
    <row r="13" spans="1:10" x14ac:dyDescent="0.5">
      <c r="B13" t="s">
        <v>16</v>
      </c>
      <c r="C13" s="6">
        <f>C12*1.02</f>
        <v>99289.483873873964</v>
      </c>
      <c r="D13" s="7">
        <v>44755</v>
      </c>
      <c r="E13" s="10">
        <v>3581.6988388500008</v>
      </c>
      <c r="F13" s="10">
        <f t="shared" si="0"/>
        <v>716.33976777000021</v>
      </c>
    </row>
    <row r="14" spans="1:10" x14ac:dyDescent="0.5">
      <c r="B14" t="s">
        <v>17</v>
      </c>
      <c r="C14" s="6">
        <f>C13*0.8</f>
        <v>79431.587099099183</v>
      </c>
      <c r="D14" s="7">
        <v>44758</v>
      </c>
      <c r="E14" s="10">
        <v>3939.8687227350015</v>
      </c>
      <c r="F14" s="10">
        <f t="shared" si="0"/>
        <v>787.97374454700036</v>
      </c>
    </row>
    <row r="15" spans="1:10" x14ac:dyDescent="0.5">
      <c r="B15" t="s">
        <v>18</v>
      </c>
      <c r="C15" s="6">
        <f>C14*0.9</f>
        <v>71488.42838918927</v>
      </c>
      <c r="D15" s="7">
        <v>44760</v>
      </c>
      <c r="E15" s="10">
        <v>4333.855595008502</v>
      </c>
      <c r="F15" s="10">
        <f t="shared" si="0"/>
        <v>866.77111900170041</v>
      </c>
    </row>
    <row r="16" spans="1:10" x14ac:dyDescent="0.5">
      <c r="B16" t="s">
        <v>19</v>
      </c>
      <c r="C16" s="6">
        <f>C15*1.1</f>
        <v>78637.271228108206</v>
      </c>
      <c r="D16" s="7">
        <v>44757</v>
      </c>
      <c r="E16" s="10">
        <v>4767.2411545093528</v>
      </c>
      <c r="F16" s="10">
        <f t="shared" si="0"/>
        <v>953.4482309018706</v>
      </c>
    </row>
    <row r="17" spans="2:6" x14ac:dyDescent="0.5">
      <c r="B17" t="s">
        <v>20</v>
      </c>
      <c r="C17" s="6">
        <f>C16*1.02</f>
        <v>80210.016652670369</v>
      </c>
      <c r="D17" s="7">
        <v>44759</v>
      </c>
      <c r="E17" s="10">
        <v>5243.9652699602884</v>
      </c>
      <c r="F17" s="10">
        <f t="shared" si="0"/>
        <v>1048.7930539920578</v>
      </c>
    </row>
    <row r="18" spans="2:6" x14ac:dyDescent="0.5">
      <c r="B18" t="s">
        <v>21</v>
      </c>
      <c r="C18" s="6">
        <f>C17*0.8</f>
        <v>64168.013322136299</v>
      </c>
      <c r="D18" s="7">
        <v>44754</v>
      </c>
      <c r="E18" s="10">
        <v>5768.3617969563174</v>
      </c>
      <c r="F18" s="10">
        <f t="shared" si="0"/>
        <v>1153.6723593912636</v>
      </c>
    </row>
    <row r="19" spans="2:6" x14ac:dyDescent="0.5">
      <c r="B19" t="s">
        <v>22</v>
      </c>
      <c r="C19" s="6">
        <f>C18*0.9</f>
        <v>57751.211989922667</v>
      </c>
      <c r="D19" s="7">
        <v>44758</v>
      </c>
      <c r="E19" s="10">
        <v>5191.525617260686</v>
      </c>
      <c r="F19" s="10">
        <f t="shared" si="0"/>
        <v>1038.3051234521372</v>
      </c>
    </row>
    <row r="20" spans="2:6" x14ac:dyDescent="0.5">
      <c r="B20" t="s">
        <v>23</v>
      </c>
      <c r="C20" s="6">
        <f>C19*1.1</f>
        <v>63526.333188914941</v>
      </c>
      <c r="D20" s="7">
        <v>44761</v>
      </c>
      <c r="E20" s="10">
        <v>6748.9833024388909</v>
      </c>
      <c r="F20" s="10">
        <f t="shared" si="0"/>
        <v>1349.7966604877784</v>
      </c>
    </row>
    <row r="21" spans="2:6" x14ac:dyDescent="0.5">
      <c r="B21" t="s">
        <v>24</v>
      </c>
      <c r="C21" s="6">
        <f>C20*1.02</f>
        <v>64796.85985269324</v>
      </c>
      <c r="D21" s="7">
        <v>44763</v>
      </c>
      <c r="E21" s="10">
        <v>8773.6782931705584</v>
      </c>
      <c r="F21" s="10">
        <f t="shared" si="0"/>
        <v>1754.7356586341118</v>
      </c>
    </row>
    <row r="22" spans="2:6" x14ac:dyDescent="0.5">
      <c r="B22" t="s">
        <v>25</v>
      </c>
      <c r="C22" s="6">
        <f>C21*0.8</f>
        <v>51837.487882154594</v>
      </c>
      <c r="D22" s="7">
        <v>44760</v>
      </c>
      <c r="E22" s="10">
        <v>11405.781781121728</v>
      </c>
      <c r="F22" s="10">
        <f t="shared" si="0"/>
        <v>2281.1563562243459</v>
      </c>
    </row>
    <row r="23" spans="2:6" x14ac:dyDescent="0.5">
      <c r="B23" t="s">
        <v>26</v>
      </c>
      <c r="C23" s="6">
        <f>C22*0.9</f>
        <v>46653.739093939133</v>
      </c>
      <c r="D23" s="7">
        <v>44762</v>
      </c>
      <c r="E23" s="10">
        <v>6650</v>
      </c>
      <c r="F23" s="10">
        <f t="shared" si="0"/>
        <v>1330</v>
      </c>
    </row>
    <row r="24" spans="2:6" x14ac:dyDescent="0.5">
      <c r="B24" t="s">
        <v>27</v>
      </c>
      <c r="C24" s="6">
        <f>C23*1.1</f>
        <v>51319.113003333048</v>
      </c>
      <c r="D24" s="7">
        <v>44757</v>
      </c>
      <c r="E24" s="10">
        <v>7341</v>
      </c>
      <c r="F24" s="10">
        <f t="shared" si="0"/>
        <v>1468.2</v>
      </c>
    </row>
    <row r="25" spans="2:6" x14ac:dyDescent="0.5">
      <c r="D25" s="3"/>
    </row>
    <row r="26" spans="2:6" x14ac:dyDescent="0.5">
      <c r="D26" s="3"/>
    </row>
    <row r="27" spans="2:6" x14ac:dyDescent="0.5">
      <c r="D27" s="3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29F236-4219-9D4E-8368-65AA274AFC5E}">
  <dimension ref="A1:I24"/>
  <sheetViews>
    <sheetView showGridLines="0" workbookViewId="0">
      <selection activeCell="I4" sqref="I4"/>
    </sheetView>
  </sheetViews>
  <sheetFormatPr defaultColWidth="10.625" defaultRowHeight="15.75" x14ac:dyDescent="0.5"/>
  <cols>
    <col min="2" max="2" width="17.125" customWidth="1"/>
    <col min="5" max="5" width="11.625" bestFit="1" customWidth="1"/>
    <col min="6" max="6" width="11.125" bestFit="1" customWidth="1"/>
    <col min="7" max="7" width="6.875" customWidth="1"/>
    <col min="9" max="9" width="16.5" bestFit="1" customWidth="1"/>
  </cols>
  <sheetData>
    <row r="1" spans="1:9" x14ac:dyDescent="0.5">
      <c r="A1" t="s">
        <v>0</v>
      </c>
    </row>
    <row r="2" spans="1:9" x14ac:dyDescent="0.5">
      <c r="B2" s="8" t="s">
        <v>30</v>
      </c>
      <c r="C2" s="8" t="s">
        <v>2</v>
      </c>
      <c r="D2" s="8" t="s">
        <v>3</v>
      </c>
      <c r="E2" s="8" t="s">
        <v>4</v>
      </c>
      <c r="F2" s="8" t="s">
        <v>5</v>
      </c>
      <c r="H2" s="8" t="s">
        <v>31</v>
      </c>
      <c r="I2" s="8" t="s">
        <v>4</v>
      </c>
    </row>
    <row r="3" spans="1:9" x14ac:dyDescent="0.5">
      <c r="B3" s="11" t="s">
        <v>32</v>
      </c>
      <c r="C3" s="6">
        <v>124300</v>
      </c>
      <c r="D3" s="7">
        <v>44754</v>
      </c>
      <c r="E3" s="10">
        <v>5436.33</v>
      </c>
      <c r="F3" s="10">
        <f>E3*0.2</f>
        <v>1087.2660000000001</v>
      </c>
      <c r="H3" s="4" t="s">
        <v>33</v>
      </c>
      <c r="I3" s="10">
        <f>_xlfn.XLOOKUP(H3&amp;"*",B3:B14,E3:E14,"NO VALUE",2)</f>
        <v>2960.0816850000001</v>
      </c>
    </row>
    <row r="4" spans="1:9" x14ac:dyDescent="0.5">
      <c r="B4" s="11" t="s">
        <v>34</v>
      </c>
      <c r="C4" s="6">
        <f>C3*1.2</f>
        <v>149160</v>
      </c>
      <c r="D4" s="7">
        <v>44751</v>
      </c>
      <c r="E4" s="10">
        <v>6197.4161999999997</v>
      </c>
      <c r="F4" s="10">
        <f t="shared" ref="F4:F14" si="0">E4*0.2</f>
        <v>1239.48324</v>
      </c>
    </row>
    <row r="5" spans="1:9" x14ac:dyDescent="0.5">
      <c r="B5" s="11" t="s">
        <v>35</v>
      </c>
      <c r="C5" s="6">
        <f>C4*1.02</f>
        <v>152143.20000000001</v>
      </c>
      <c r="D5" s="7">
        <v>44753</v>
      </c>
      <c r="E5" s="10">
        <v>7065.0544679999994</v>
      </c>
      <c r="F5" s="10">
        <f t="shared" si="0"/>
        <v>1413.0108935999999</v>
      </c>
    </row>
    <row r="6" spans="1:9" x14ac:dyDescent="0.5">
      <c r="B6" s="11" t="s">
        <v>36</v>
      </c>
      <c r="C6" s="6">
        <f>C5*0.8</f>
        <v>121714.56000000001</v>
      </c>
      <c r="D6" s="7">
        <v>44748</v>
      </c>
      <c r="E6" s="10">
        <v>8054.1620935199981</v>
      </c>
      <c r="F6" s="10">
        <f t="shared" si="0"/>
        <v>1610.8324187039998</v>
      </c>
    </row>
    <row r="7" spans="1:9" x14ac:dyDescent="0.5">
      <c r="B7" s="11" t="s">
        <v>37</v>
      </c>
      <c r="C7" s="6">
        <f>C6*0.9</f>
        <v>109543.10400000001</v>
      </c>
      <c r="D7" s="7">
        <v>44752</v>
      </c>
      <c r="E7" s="10">
        <v>9181.7447866127968</v>
      </c>
      <c r="F7" s="10">
        <f t="shared" si="0"/>
        <v>1836.3489573225595</v>
      </c>
    </row>
    <row r="8" spans="1:9" x14ac:dyDescent="0.5">
      <c r="B8" s="11" t="s">
        <v>38</v>
      </c>
      <c r="C8" s="6">
        <f>C7*1.1</f>
        <v>120497.41440000002</v>
      </c>
      <c r="D8" s="7">
        <v>44755</v>
      </c>
      <c r="E8" s="10">
        <v>10467.189056738587</v>
      </c>
      <c r="F8" s="10">
        <f t="shared" si="0"/>
        <v>2093.4378113477173</v>
      </c>
    </row>
    <row r="9" spans="1:9" x14ac:dyDescent="0.5">
      <c r="B9" s="11" t="s">
        <v>39</v>
      </c>
      <c r="C9" s="6">
        <f>C8*1.02</f>
        <v>122907.36268800002</v>
      </c>
      <c r="D9" s="7">
        <v>44757</v>
      </c>
      <c r="E9" s="10">
        <v>2446.3485000000001</v>
      </c>
      <c r="F9" s="10">
        <f t="shared" si="0"/>
        <v>489.26970000000006</v>
      </c>
    </row>
    <row r="10" spans="1:9" x14ac:dyDescent="0.5">
      <c r="B10" s="11" t="s">
        <v>40</v>
      </c>
      <c r="C10" s="6">
        <f>C9*0.8</f>
        <v>98325.890150400024</v>
      </c>
      <c r="D10" s="7">
        <v>44754</v>
      </c>
      <c r="E10" s="10">
        <v>2690.9833500000004</v>
      </c>
      <c r="F10" s="10">
        <f t="shared" si="0"/>
        <v>538.19667000000015</v>
      </c>
    </row>
    <row r="11" spans="1:9" x14ac:dyDescent="0.5">
      <c r="B11" s="11" t="s">
        <v>41</v>
      </c>
      <c r="C11" s="6">
        <f>C10*0.9</f>
        <v>88493.30113536003</v>
      </c>
      <c r="D11" s="7">
        <v>44756</v>
      </c>
      <c r="E11" s="10">
        <v>2960.0816850000001</v>
      </c>
      <c r="F11" s="10">
        <f t="shared" si="0"/>
        <v>592.01633700000002</v>
      </c>
    </row>
    <row r="12" spans="1:9" x14ac:dyDescent="0.5">
      <c r="B12" s="11" t="s">
        <v>42</v>
      </c>
      <c r="C12" s="6">
        <f>C11*1.1</f>
        <v>97342.631248896039</v>
      </c>
      <c r="D12" s="7">
        <v>44751</v>
      </c>
      <c r="E12" s="10">
        <v>3256.0898535000001</v>
      </c>
      <c r="F12" s="10">
        <f t="shared" si="0"/>
        <v>651.21797070000002</v>
      </c>
    </row>
    <row r="13" spans="1:9" x14ac:dyDescent="0.5">
      <c r="B13" s="11" t="s">
        <v>43</v>
      </c>
      <c r="C13" s="6">
        <f>C12*1.02</f>
        <v>99289.483873873964</v>
      </c>
      <c r="D13" s="7">
        <v>44755</v>
      </c>
      <c r="E13" s="10">
        <v>3581.6988388500008</v>
      </c>
      <c r="F13" s="10">
        <f t="shared" si="0"/>
        <v>716.33976777000021</v>
      </c>
    </row>
    <row r="14" spans="1:9" x14ac:dyDescent="0.5">
      <c r="B14" s="11" t="s">
        <v>44</v>
      </c>
      <c r="C14" s="6">
        <f>C13*0.8</f>
        <v>79431.587099099183</v>
      </c>
      <c r="D14" s="7">
        <v>44758</v>
      </c>
      <c r="E14" s="10">
        <v>3939.8687227350015</v>
      </c>
      <c r="F14" s="10">
        <f t="shared" si="0"/>
        <v>787.97374454700036</v>
      </c>
    </row>
    <row r="15" spans="1:9" x14ac:dyDescent="0.5">
      <c r="B15" s="11"/>
      <c r="C15" s="10"/>
      <c r="D15" s="10"/>
      <c r="E15" s="10"/>
      <c r="F15" s="10"/>
    </row>
    <row r="16" spans="1:9" x14ac:dyDescent="0.5">
      <c r="B16" s="11"/>
      <c r="C16" s="10"/>
      <c r="D16" s="10"/>
      <c r="E16" s="10"/>
      <c r="F16" s="10"/>
    </row>
    <row r="17" spans="2:6" x14ac:dyDescent="0.5">
      <c r="B17" s="11"/>
      <c r="C17" s="10"/>
      <c r="D17" s="10"/>
      <c r="E17" s="10"/>
      <c r="F17" s="10"/>
    </row>
    <row r="18" spans="2:6" x14ac:dyDescent="0.5">
      <c r="B18" s="11"/>
      <c r="C18" s="10"/>
      <c r="D18" s="10"/>
      <c r="E18" s="10"/>
      <c r="F18" s="10"/>
    </row>
    <row r="19" spans="2:6" x14ac:dyDescent="0.5">
      <c r="B19" s="11"/>
      <c r="C19" s="10"/>
      <c r="D19" s="10"/>
      <c r="E19" s="10"/>
      <c r="F19" s="10"/>
    </row>
    <row r="20" spans="2:6" x14ac:dyDescent="0.5">
      <c r="B20" s="11"/>
      <c r="C20" s="10"/>
      <c r="D20" s="10"/>
      <c r="E20" s="10"/>
      <c r="F20" s="10"/>
    </row>
    <row r="21" spans="2:6" x14ac:dyDescent="0.5">
      <c r="B21" s="11"/>
      <c r="C21" s="10"/>
      <c r="D21" s="10"/>
      <c r="E21" s="10"/>
      <c r="F21" s="10"/>
    </row>
    <row r="22" spans="2:6" x14ac:dyDescent="0.5">
      <c r="B22" s="11"/>
      <c r="C22" s="10"/>
      <c r="D22" s="10"/>
      <c r="E22" s="10"/>
      <c r="F22" s="10"/>
    </row>
    <row r="23" spans="2:6" x14ac:dyDescent="0.5">
      <c r="B23" s="11"/>
      <c r="C23" s="10"/>
      <c r="D23" s="10"/>
      <c r="E23" s="10"/>
      <c r="F23" s="10"/>
    </row>
    <row r="24" spans="2:6" x14ac:dyDescent="0.5">
      <c r="B24" s="11"/>
      <c r="C24" s="10"/>
      <c r="D24" s="10"/>
      <c r="E24" s="10"/>
      <c r="F24" s="10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96D61B-F309-344C-9251-9A4573BB9A69}">
  <dimension ref="A1:J25"/>
  <sheetViews>
    <sheetView showGridLines="0" tabSelected="1" topLeftCell="A2" workbookViewId="0">
      <selection activeCell="I4" sqref="I4"/>
    </sheetView>
  </sheetViews>
  <sheetFormatPr defaultColWidth="10.625" defaultRowHeight="15.75" x14ac:dyDescent="0.5"/>
  <cols>
    <col min="2" max="2" width="15.5" bestFit="1" customWidth="1"/>
    <col min="5" max="5" width="11.625" bestFit="1" customWidth="1"/>
    <col min="6" max="6" width="11.125" bestFit="1" customWidth="1"/>
    <col min="7" max="7" width="6.875" customWidth="1"/>
    <col min="9" max="9" width="12.375" bestFit="1" customWidth="1"/>
    <col min="10" max="10" width="36" bestFit="1" customWidth="1"/>
  </cols>
  <sheetData>
    <row r="1" spans="1:10" x14ac:dyDescent="0.5">
      <c r="A1" t="s">
        <v>0</v>
      </c>
    </row>
    <row r="2" spans="1:10" x14ac:dyDescent="0.5">
      <c r="B2" s="16" t="s">
        <v>45</v>
      </c>
      <c r="C2" s="16"/>
      <c r="D2" s="16"/>
      <c r="E2" s="16"/>
      <c r="F2" s="16"/>
      <c r="H2" s="8" t="s">
        <v>1</v>
      </c>
      <c r="I2" s="8" t="s">
        <v>46</v>
      </c>
      <c r="J2" s="8" t="s">
        <v>5</v>
      </c>
    </row>
    <row r="3" spans="1:10" x14ac:dyDescent="0.5">
      <c r="B3" s="12" t="s">
        <v>47</v>
      </c>
      <c r="C3" s="13">
        <v>2019</v>
      </c>
      <c r="D3" s="13">
        <v>2020</v>
      </c>
      <c r="E3" s="13">
        <f>D3+1</f>
        <v>2021</v>
      </c>
      <c r="F3" s="13">
        <f t="shared" ref="F3" si="0">E3+1</f>
        <v>2022</v>
      </c>
      <c r="H3" s="4" t="s">
        <v>7</v>
      </c>
      <c r="I3" s="4">
        <v>2019</v>
      </c>
      <c r="J3" s="15" cm="1">
        <f t="array" ref="J3">_xlfn.XLOOKUP(H3,B4:B25,_xlfn.XLOOKUP(I3,C3:F3,C4:F25,"NO VALUE",0))</f>
        <v>1239.48324</v>
      </c>
    </row>
    <row r="4" spans="1:10" x14ac:dyDescent="0.5">
      <c r="B4" s="11" t="s">
        <v>6</v>
      </c>
      <c r="C4" s="10">
        <v>1087.2660000000001</v>
      </c>
      <c r="D4" s="10">
        <v>1250.3559</v>
      </c>
      <c r="E4" s="10">
        <v>1187.838105</v>
      </c>
      <c r="F4" s="10">
        <v>1413.52734495</v>
      </c>
    </row>
    <row r="5" spans="1:10" x14ac:dyDescent="0.5">
      <c r="B5" s="11" t="s">
        <v>7</v>
      </c>
      <c r="C5" s="10">
        <v>1239.48324</v>
      </c>
      <c r="D5" s="10">
        <v>1425.405726</v>
      </c>
      <c r="E5" s="10">
        <v>1354.1354397</v>
      </c>
      <c r="F5" s="10">
        <v>1611.4211732429999</v>
      </c>
    </row>
    <row r="6" spans="1:10" x14ac:dyDescent="0.5">
      <c r="B6" s="11" t="s">
        <v>8</v>
      </c>
      <c r="C6" s="10">
        <v>1413.0108935999999</v>
      </c>
      <c r="D6" s="10">
        <v>1624.9625276399997</v>
      </c>
      <c r="E6" s="10">
        <v>1543.7144012579997</v>
      </c>
      <c r="F6" s="10">
        <v>1837.0201374970195</v>
      </c>
    </row>
    <row r="7" spans="1:10" x14ac:dyDescent="0.5">
      <c r="B7" s="11" t="s">
        <v>9</v>
      </c>
      <c r="C7" s="10">
        <v>1610.8324187039998</v>
      </c>
      <c r="D7" s="10">
        <v>1852.4572815095996</v>
      </c>
      <c r="E7" s="10">
        <v>1759.8344174341196</v>
      </c>
      <c r="F7" s="10">
        <v>2094.202956746602</v>
      </c>
    </row>
    <row r="8" spans="1:10" x14ac:dyDescent="0.5">
      <c r="B8" s="11" t="s">
        <v>10</v>
      </c>
      <c r="C8" s="10">
        <v>1836.3489573225595</v>
      </c>
      <c r="D8" s="10">
        <v>2111.801300920943</v>
      </c>
      <c r="E8" s="10">
        <v>2006.2112358748957</v>
      </c>
      <c r="F8" s="10">
        <v>2387.3913706911258</v>
      </c>
    </row>
    <row r="9" spans="1:10" x14ac:dyDescent="0.5">
      <c r="B9" s="11" t="s">
        <v>11</v>
      </c>
      <c r="C9" s="10">
        <v>2093.4378113477173</v>
      </c>
      <c r="D9" s="10">
        <v>2407.4534830498746</v>
      </c>
      <c r="E9" s="10">
        <v>2287.0808088973808</v>
      </c>
      <c r="F9" s="10">
        <v>2721.6261625878833</v>
      </c>
    </row>
    <row r="10" spans="1:10" x14ac:dyDescent="0.5">
      <c r="B10" s="11" t="s">
        <v>12</v>
      </c>
      <c r="C10" s="10">
        <v>489.26970000000006</v>
      </c>
      <c r="D10" s="10">
        <v>562.66015500000003</v>
      </c>
      <c r="E10" s="10">
        <v>534.52714724999998</v>
      </c>
      <c r="F10" s="10">
        <v>636.0873052275</v>
      </c>
    </row>
    <row r="11" spans="1:10" x14ac:dyDescent="0.5">
      <c r="B11" s="11" t="s">
        <v>13</v>
      </c>
      <c r="C11" s="10">
        <v>538.19667000000015</v>
      </c>
      <c r="D11" s="10">
        <v>618.92617050000013</v>
      </c>
      <c r="E11" s="10">
        <v>587.97986197500006</v>
      </c>
      <c r="F11" s="10">
        <v>699.69603575025008</v>
      </c>
    </row>
    <row r="12" spans="1:10" x14ac:dyDescent="0.5">
      <c r="B12" s="11" t="s">
        <v>14</v>
      </c>
      <c r="C12" s="10">
        <v>592.01633700000002</v>
      </c>
      <c r="D12" s="10">
        <v>680.81878755000002</v>
      </c>
      <c r="E12" s="10">
        <v>646.77784817249994</v>
      </c>
      <c r="F12" s="10">
        <v>769.66563932527492</v>
      </c>
    </row>
    <row r="13" spans="1:10" x14ac:dyDescent="0.5">
      <c r="B13" s="11" t="s">
        <v>15</v>
      </c>
      <c r="C13" s="10">
        <v>651.21797070000002</v>
      </c>
      <c r="D13" s="10">
        <v>748.90066630499996</v>
      </c>
      <c r="E13" s="10">
        <v>711.45563298974992</v>
      </c>
      <c r="F13" s="10">
        <v>846.63220325780242</v>
      </c>
    </row>
    <row r="14" spans="1:10" x14ac:dyDescent="0.5">
      <c r="B14" s="11" t="s">
        <v>16</v>
      </c>
      <c r="C14" s="10">
        <v>716.33976777000021</v>
      </c>
      <c r="D14" s="10">
        <v>823.79073293550016</v>
      </c>
      <c r="E14" s="10">
        <v>782.60119628872508</v>
      </c>
      <c r="F14" s="10">
        <v>931.29542358358276</v>
      </c>
    </row>
    <row r="15" spans="1:10" x14ac:dyDescent="0.5">
      <c r="B15" s="11" t="s">
        <v>17</v>
      </c>
      <c r="C15" s="10">
        <v>787.97374454700036</v>
      </c>
      <c r="D15" s="10">
        <v>906.16980622905032</v>
      </c>
      <c r="E15" s="10">
        <v>860.86131591759772</v>
      </c>
      <c r="F15" s="10">
        <v>1024.4249659419413</v>
      </c>
    </row>
    <row r="16" spans="1:10" x14ac:dyDescent="0.5">
      <c r="B16" s="11" t="s">
        <v>18</v>
      </c>
      <c r="C16" s="10">
        <v>866.77111900170041</v>
      </c>
      <c r="D16" s="10">
        <v>996.78678685195541</v>
      </c>
      <c r="E16" s="10">
        <v>946.94744750935763</v>
      </c>
      <c r="F16" s="10">
        <v>1126.8674625361355</v>
      </c>
    </row>
    <row r="17" spans="2:6" x14ac:dyDescent="0.5">
      <c r="B17" s="11" t="s">
        <v>19</v>
      </c>
      <c r="C17" s="10">
        <v>953.4482309018706</v>
      </c>
      <c r="D17" s="10">
        <v>1096.4654655371512</v>
      </c>
      <c r="E17" s="10">
        <v>1041.6421922602935</v>
      </c>
      <c r="F17" s="10">
        <v>1239.5542087897493</v>
      </c>
    </row>
    <row r="18" spans="2:6" x14ac:dyDescent="0.5">
      <c r="B18" s="11" t="s">
        <v>20</v>
      </c>
      <c r="C18" s="10">
        <v>1048.7930539920578</v>
      </c>
      <c r="D18" s="10">
        <v>1206.1120120908663</v>
      </c>
      <c r="E18" s="10">
        <v>1145.806411486323</v>
      </c>
      <c r="F18" s="10">
        <v>1363.5096296687243</v>
      </c>
    </row>
    <row r="19" spans="2:6" x14ac:dyDescent="0.5">
      <c r="B19" s="11" t="s">
        <v>21</v>
      </c>
      <c r="C19" s="10">
        <v>1153.6723593912636</v>
      </c>
      <c r="D19" s="10">
        <v>1326.7232132999532</v>
      </c>
      <c r="E19" s="10">
        <v>1260.3870526349554</v>
      </c>
      <c r="F19" s="10">
        <v>1499.8605926355967</v>
      </c>
    </row>
    <row r="20" spans="2:6" x14ac:dyDescent="0.5">
      <c r="B20" s="11" t="s">
        <v>22</v>
      </c>
      <c r="C20" s="10">
        <v>1038.3051234521372</v>
      </c>
      <c r="D20" s="10">
        <v>1194.0508919699578</v>
      </c>
      <c r="E20" s="10">
        <v>1134.3483473714598</v>
      </c>
      <c r="F20" s="10">
        <v>1349.8745333720371</v>
      </c>
    </row>
    <row r="21" spans="2:6" x14ac:dyDescent="0.5">
      <c r="B21" s="11" t="s">
        <v>23</v>
      </c>
      <c r="C21" s="10">
        <v>1349.7966604877784</v>
      </c>
      <c r="D21" s="10">
        <v>1552.266159560945</v>
      </c>
      <c r="E21" s="10">
        <v>1474.6528515828977</v>
      </c>
      <c r="F21" s="10">
        <v>1754.8368933836482</v>
      </c>
    </row>
    <row r="22" spans="2:6" x14ac:dyDescent="0.5">
      <c r="B22" s="11" t="s">
        <v>24</v>
      </c>
      <c r="C22" s="10">
        <v>1754.7356586341118</v>
      </c>
      <c r="D22" s="10">
        <v>2017.9460074292285</v>
      </c>
      <c r="E22" s="10">
        <v>1917.0487070577669</v>
      </c>
      <c r="F22" s="10">
        <v>2281.2879613987425</v>
      </c>
    </row>
    <row r="23" spans="2:6" x14ac:dyDescent="0.5">
      <c r="B23" s="11" t="s">
        <v>25</v>
      </c>
      <c r="C23" s="10">
        <v>2281.1563562243459</v>
      </c>
      <c r="D23" s="10">
        <v>2623.3298096579974</v>
      </c>
      <c r="E23" s="10">
        <v>2492.1633191750975</v>
      </c>
      <c r="F23" s="10">
        <v>2965.674349818366</v>
      </c>
    </row>
    <row r="24" spans="2:6" x14ac:dyDescent="0.5">
      <c r="B24" s="11" t="s">
        <v>26</v>
      </c>
      <c r="C24" s="10">
        <v>1330</v>
      </c>
      <c r="D24" s="10">
        <v>1529.4999999999998</v>
      </c>
      <c r="E24" s="10">
        <v>1453.0249999999996</v>
      </c>
      <c r="F24" s="10">
        <v>1729.0997499999994</v>
      </c>
    </row>
    <row r="25" spans="2:6" x14ac:dyDescent="0.5">
      <c r="B25" s="11" t="s">
        <v>27</v>
      </c>
      <c r="C25" s="10">
        <v>1468.2</v>
      </c>
      <c r="D25" s="10">
        <v>1688.4299999999998</v>
      </c>
      <c r="E25" s="10">
        <v>1604.0084999999997</v>
      </c>
      <c r="F25" s="10">
        <v>1908.7701149999996</v>
      </c>
    </row>
  </sheetData>
  <mergeCells count="1">
    <mergeCell ref="B2:F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Vlookup</vt:lpstr>
      <vt:lpstr>Hlookup</vt:lpstr>
      <vt:lpstr>Xlookup</vt:lpstr>
      <vt:lpstr>Xlookup 2</vt:lpstr>
      <vt:lpstr>Xlookup 3</vt:lpstr>
      <vt:lpstr>Xlookup 4</vt:lpstr>
      <vt:lpstr>Xlookup 5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Microsoft Office User</dc:creator>
  <cp:keywords/>
  <dc:description/>
  <cp:lastModifiedBy>Aakash Dharshan</cp:lastModifiedBy>
  <cp:revision/>
  <dcterms:created xsi:type="dcterms:W3CDTF">2022-08-01T09:40:24Z</dcterms:created>
  <dcterms:modified xsi:type="dcterms:W3CDTF">2026-05-29T16:22:27Z</dcterms:modified>
  <cp:category/>
  <cp:contentStatus/>
</cp:coreProperties>
</file>