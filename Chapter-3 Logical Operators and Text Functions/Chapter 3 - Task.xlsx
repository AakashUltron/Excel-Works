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84CE3E46-11AE-42BC-A7E5-8F0597D9EE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2" i="1"/>
  <c r="O3" i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N2" i="1"/>
  <c r="M2" i="1"/>
  <c r="M3" i="1"/>
  <c r="M4" i="1"/>
  <c r="M5" i="1"/>
  <c r="M6" i="1"/>
  <c r="M7" i="1"/>
  <c r="M8" i="1"/>
  <c r="M9" i="1"/>
  <c r="M10" i="1"/>
  <c r="M11" i="1"/>
  <c r="L2" i="1"/>
  <c r="L3" i="1"/>
  <c r="L4" i="1"/>
  <c r="L5" i="1"/>
  <c r="L6" i="1"/>
  <c r="L7" i="1"/>
  <c r="L8" i="1"/>
  <c r="L9" i="1"/>
  <c r="L10" i="1"/>
  <c r="L11" i="1"/>
  <c r="K3" i="1"/>
  <c r="K4" i="1"/>
  <c r="K5" i="1"/>
  <c r="K6" i="1"/>
  <c r="K7" i="1"/>
  <c r="K8" i="1"/>
  <c r="K9" i="1"/>
  <c r="K10" i="1"/>
  <c r="K11" i="1"/>
  <c r="K2" i="1"/>
  <c r="J2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<sst xmlns="http://schemas.openxmlformats.org/spreadsheetml/2006/main" count="61" uniqueCount="51">
  <si>
    <t>Employee ID</t>
  </si>
  <si>
    <t>Employee Name</t>
  </si>
  <si>
    <t>Phone Number</t>
  </si>
  <si>
    <t>Email</t>
  </si>
  <si>
    <t>Department</t>
  </si>
  <si>
    <t>Joining Date</t>
  </si>
  <si>
    <t>Status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</si>
  <si>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</si>
  <si>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</si>
  <si>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</si>
  <si>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</si>
  <si>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</si>
  <si>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</si>
  <si>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</si>
  <si>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</si>
  <si>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</si>
  <si>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David Mathews</t>
  </si>
  <si>
    <t>IT</t>
  </si>
  <si>
    <t>Sunil Kumar</t>
  </si>
  <si>
    <t>sunil.kumar@company.com</t>
  </si>
  <si>
    <t>Finance</t>
  </si>
  <si>
    <t>Inactive</t>
  </si>
  <si>
    <t>Priya R</t>
  </si>
  <si>
    <t>priya.r@company.com</t>
  </si>
  <si>
    <t>Marketing</t>
  </si>
  <si>
    <t>Aman Verma</t>
  </si>
  <si>
    <t>aman.verma@company.com</t>
  </si>
  <si>
    <t>Maria Lopez</t>
  </si>
  <si>
    <t>John Paul</t>
  </si>
  <si>
    <t>john.paul@company</t>
  </si>
  <si>
    <t>Khushi Jain</t>
  </si>
  <si>
    <t>khushi.jain@company.com</t>
  </si>
  <si>
    <t>rohan.m@company.com</t>
  </si>
  <si>
    <t>EMPLOYEE ID</t>
  </si>
  <si>
    <t>EMP-001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</si>
  <si>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</si>
  <si>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</si>
  <si>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</si>
  <si>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</si>
  <si>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</si>
  <si>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</si>
  <si>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</si>
  <si>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</si>
  <si>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FIRST NAME</t>
  </si>
  <si>
    <t>Rohan M</t>
  </si>
  <si>
    <t>LAST NAME</t>
  </si>
  <si>
    <t>PHONE NO. CHECK</t>
  </si>
  <si>
    <t>EMAIL ID. CHECK</t>
  </si>
  <si>
    <t>EMAIL CHECK 2</t>
  </si>
  <si>
    <t xml:space="preserve">COMBINE                                      Employee Name and Employee ID </t>
  </si>
  <si>
    <t>Employee Name, ID, and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</si>
</sst>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D1" workbookViewId="0">
      <selection activeCell="C2" sqref="C2"/>
    </sheetView>
  </sheetViews>
  <sheetFormatPr defaultRowHeight="14.25" x14ac:dyDescent="0.45"/>
  <cols>
    <col min="1" max="1" width="12" bestFit="1" customWidth="1"/>
    <col min="2" max="2" width="15.265625" bestFit="1" customWidth="1"/>
    <col min="3" max="3" width="14" bestFit="1" customWidth="1"/>
    <col min="4" max="4" width="26.265625" bestFit="1" customWidth="1"/>
    <col min="5" max="6" width="11.59765625" bestFit="1" customWidth="1"/>
    <col min="9" max="9" width="7.53125" customWidth="1"/>
    <col min="10" max="10" width="8.59765625" customWidth="1"/>
    <col min="11" max="11" width="8.1328125" customWidth="1"/>
    <col min="13" max="13" width="13.33203125" customWidth="1"/>
    <col min="14" max="14" width="15.73046875" customWidth="1"/>
    <col min="15" max="15" width="23.53125" customWidth="1"/>
    <col min="16" max="16" width="35.53125" customWidth="1"/>
  </cols>
  <sheetData>
    <row r="1" spans="1:16" ht="71.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33</v>
      </c>
      <c r="J1" s="5" t="s">
        <v>43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</row>
    <row r="2" spans="1:16" x14ac:dyDescent="0.45">
      <c r="A2" s="1" t="s">
        <v>34</v>
      </c>
      <c r="B2" s="1" t="s">
        <v>7</v>
      </c>
      <c r="C2" s="1">
        <v>9876543210</v>
      </c>
      <c r="D2" s="2" t="s">
        <v>8</v>
      </c>
      <c r="E2" s="1" t="s">
        <v>9</v>
      </c>
      <c r="F2" s="3">
        <v>44239</v>
      </c>
      <c r="G2" s="1" t="s">
        <v>10</v>
      </c>
      <c r="I2" t="str">
        <f>IF(LEFT(A2,3)="EMP","Valid","Invalid")</f>
        <v>Valid</v>
      </c>
      <c r="J2" t="str">
        <f>LEFT(B2,SEARCH(" ",B2)-1)</f>
        <v>Rahul</v>
      </c>
      <c r="K2" t="str">
        <f>RIGHT(B2,LEN(B2)-SEARCH(" ",B2))</f>
        <v>Sharma</v>
      </c>
      <c r="L2" t="str">
        <f>IF(AND(LEN(C2)=10,ISNUMBER(C2)),"YES","NO")</f>
        <v>YES</v>
      </c>
      <c r="M2" t="str">
        <f>IF(ISBLANK(D2),"NOT-AVAILABLE","AVAILABLE")</f>
        <v>AVAILABLE</v>
      </c>
      <c r="N2" t="str">
        <f>IF(OR(ISBLANK(D2),ISERROR(SEARCH("@",D2))),"MISSING","PRESENT")</f>
        <v>PRESENT</v>
      </c>
      <c r="O2" t="str">
        <f>_xlfn.CONCAT(B2," &amp; ",A2)</f>
        <v>Rahul Sharma &amp; EMP-001</v>
      </c>
      <c r="P2" t="str">
        <f>_xlfn.TEXTJOIN(" - ",FALSE,B2,A2,E2)</f>
        <v>Rahul Sharma - EMP-001 - Sales</v>
      </c>
    </row>
    <row r="3" spans="1:16" x14ac:dyDescent="0.4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44140</v>
      </c>
      <c r="G3" s="1" t="s">
        <v>10</v>
      </c>
      <c r="I3" t="str">
        <f t="shared" ref="I3:I11" si="0">IF(LEFT(A3,3)="EMP","Valid","Invalid")</f>
        <v>Valid</v>
      </c>
      <c r="J3" t="str">
        <f t="shared" ref="J3:J11" si="1">LEFT(B3,SEARCH(" ",B3)-1)</f>
        <v>Anita</v>
      </c>
      <c r="K3" t="str">
        <f t="shared" ref="K3:K11" si="2">RIGHT(B3,LEN(B3)-SEARCH(" ",B3))</f>
        <v>Singh</v>
      </c>
      <c r="L3" t="str">
        <f t="shared" ref="L3:L11" si="3">IF(AND(LEN(C3)=10,ISNUMBER(C3)),"YES","NO")</f>
        <v>NO</v>
      </c>
      <c r="M3" t="str">
        <f t="shared" ref="M3:M11" si="4">IF(ISBLANK(D3),"NOT-AVAILABLE","AVAILABLE")</f>
        <v>AVAILABLE</v>
      </c>
      <c r="N3" t="str">
        <f t="shared" ref="N3:N11" si="5">IF(OR(ISBLANK(D3),ISERROR(SEARCH("@",D3))),"MISSING","PRESENT")</f>
        <v>MISSING</v>
      </c>
      <c r="O3" t="str">
        <f t="shared" ref="O3:O11" si="6">_xlfn.CONCAT(B3," &amp; ",A3)</f>
        <v>Anita Singh &amp; EMP-002</v>
      </c>
      <c r="P3" t="str">
        <f t="shared" ref="P3:P11" si="7">_xlfn.TEXTJOIN(" - ",FALSE,B3,A3,E3)</f>
        <v>Anita Singh - EMP-002 - HR</v>
      </c>
    </row>
    <row r="4" spans="1:16" x14ac:dyDescent="0.45">
      <c r="A4" s="1" t="s">
        <v>35</v>
      </c>
      <c r="B4" s="1" t="s">
        <v>16</v>
      </c>
      <c r="C4" s="1">
        <v>9876509876</v>
      </c>
      <c r="D4" s="1"/>
      <c r="E4" s="1" t="s">
        <v>17</v>
      </c>
      <c r="F4" s="3">
        <v>44030</v>
      </c>
      <c r="G4" s="1"/>
      <c r="I4" t="str">
        <f t="shared" si="0"/>
        <v>Valid</v>
      </c>
      <c r="J4" t="str">
        <f t="shared" si="1"/>
        <v>David</v>
      </c>
      <c r="K4" t="str">
        <f t="shared" si="2"/>
        <v>Mathews</v>
      </c>
      <c r="L4" t="str">
        <f t="shared" si="3"/>
        <v>YES</v>
      </c>
      <c r="M4" t="str">
        <f t="shared" si="4"/>
        <v>NOT-AVAILABLE</v>
      </c>
      <c r="N4" t="str">
        <f t="shared" si="5"/>
        <v>MISSING</v>
      </c>
      <c r="O4" t="str">
        <f t="shared" si="6"/>
        <v>David Mathews &amp; EMP-003</v>
      </c>
      <c r="P4" t="str">
        <f t="shared" si="7"/>
        <v>David Mathews - EMP-003 - IT</v>
      </c>
    </row>
    <row r="5" spans="1:16" x14ac:dyDescent="0.45">
      <c r="A5" s="1" t="s">
        <v>36</v>
      </c>
      <c r="B5" s="1" t="s">
        <v>18</v>
      </c>
      <c r="C5" s="1"/>
      <c r="D5" s="2" t="s">
        <v>19</v>
      </c>
      <c r="E5" s="1" t="s">
        <v>20</v>
      </c>
      <c r="F5" s="3">
        <v>43542</v>
      </c>
      <c r="G5" s="1" t="s">
        <v>21</v>
      </c>
      <c r="I5" t="str">
        <f t="shared" si="0"/>
        <v>Valid</v>
      </c>
      <c r="J5" t="str">
        <f t="shared" si="1"/>
        <v>Sunil</v>
      </c>
      <c r="K5" t="str">
        <f t="shared" si="2"/>
        <v>Kumar</v>
      </c>
      <c r="L5" t="str">
        <f t="shared" si="3"/>
        <v>NO</v>
      </c>
      <c r="M5" t="str">
        <f t="shared" si="4"/>
        <v>AVAILABLE</v>
      </c>
      <c r="N5" t="str">
        <f t="shared" si="5"/>
        <v>PRESENT</v>
      </c>
      <c r="O5" t="str">
        <f t="shared" si="6"/>
        <v>Sunil Kumar &amp; EMP-004</v>
      </c>
      <c r="P5" t="str">
        <f t="shared" si="7"/>
        <v>Sunil Kumar - EMP-004 - Finance</v>
      </c>
    </row>
    <row r="6" spans="1:16" x14ac:dyDescent="0.45">
      <c r="A6" s="1" t="s">
        <v>37</v>
      </c>
      <c r="B6" s="1" t="s">
        <v>22</v>
      </c>
      <c r="C6" s="1">
        <v>9901234567</v>
      </c>
      <c r="D6" s="2" t="s">
        <v>23</v>
      </c>
      <c r="E6" s="1" t="s">
        <v>24</v>
      </c>
      <c r="F6" s="3">
        <v>44446</v>
      </c>
      <c r="G6" s="1" t="s">
        <v>10</v>
      </c>
      <c r="I6" t="str">
        <f t="shared" si="0"/>
        <v>Valid</v>
      </c>
      <c r="J6" t="str">
        <f t="shared" si="1"/>
        <v>Priya</v>
      </c>
      <c r="K6" t="str">
        <f t="shared" si="2"/>
        <v>R</v>
      </c>
      <c r="L6" t="str">
        <f t="shared" si="3"/>
        <v>YES</v>
      </c>
      <c r="M6" t="str">
        <f t="shared" si="4"/>
        <v>AVAILABLE</v>
      </c>
      <c r="N6" t="str">
        <f t="shared" si="5"/>
        <v>PRESENT</v>
      </c>
      <c r="O6" t="str">
        <f t="shared" si="6"/>
        <v>Priya R &amp; EMP-005</v>
      </c>
      <c r="P6" t="str">
        <f t="shared" si="7"/>
        <v>Priya R - EMP-005 - Marketing</v>
      </c>
    </row>
    <row r="7" spans="1:16" x14ac:dyDescent="0.45">
      <c r="A7" s="1" t="s">
        <v>38</v>
      </c>
      <c r="B7" s="1" t="s">
        <v>25</v>
      </c>
      <c r="C7" s="1">
        <v>991234567</v>
      </c>
      <c r="D7" s="2" t="s">
        <v>26</v>
      </c>
      <c r="E7" s="1" t="s">
        <v>17</v>
      </c>
      <c r="F7" s="3">
        <v>44848</v>
      </c>
      <c r="G7" s="1" t="s">
        <v>10</v>
      </c>
      <c r="I7" t="str">
        <f t="shared" si="0"/>
        <v>Valid</v>
      </c>
      <c r="J7" t="str">
        <f t="shared" si="1"/>
        <v>Aman</v>
      </c>
      <c r="K7" t="str">
        <f t="shared" si="2"/>
        <v>Verma</v>
      </c>
      <c r="L7" t="str">
        <f t="shared" si="3"/>
        <v>NO</v>
      </c>
      <c r="M7" t="str">
        <f t="shared" si="4"/>
        <v>AVAILABLE</v>
      </c>
      <c r="N7" t="str">
        <f t="shared" si="5"/>
        <v>PRESENT</v>
      </c>
      <c r="O7" t="str">
        <f t="shared" si="6"/>
        <v>Aman Verma &amp; EMP-006</v>
      </c>
      <c r="P7" t="str">
        <f t="shared" si="7"/>
        <v>Aman Verma - EMP-006 - IT</v>
      </c>
    </row>
    <row r="8" spans="1:16" x14ac:dyDescent="0.45">
      <c r="A8" s="1" t="s">
        <v>39</v>
      </c>
      <c r="B8" s="1" t="s">
        <v>27</v>
      </c>
      <c r="C8" s="1">
        <v>9876543210</v>
      </c>
      <c r="D8" s="1"/>
      <c r="E8" s="1" t="s">
        <v>9</v>
      </c>
      <c r="F8" s="3">
        <v>43831</v>
      </c>
      <c r="G8" s="1" t="s">
        <v>10</v>
      </c>
      <c r="I8" t="str">
        <f t="shared" si="0"/>
        <v>Valid</v>
      </c>
      <c r="J8" t="str">
        <f t="shared" si="1"/>
        <v>Maria</v>
      </c>
      <c r="K8" t="str">
        <f t="shared" si="2"/>
        <v>Lopez</v>
      </c>
      <c r="L8" t="str">
        <f t="shared" si="3"/>
        <v>YES</v>
      </c>
      <c r="M8" t="str">
        <f t="shared" si="4"/>
        <v>NOT-AVAILABLE</v>
      </c>
      <c r="N8" t="str">
        <f t="shared" si="5"/>
        <v>MISSING</v>
      </c>
      <c r="O8" t="str">
        <f t="shared" si="6"/>
        <v>Maria Lopez &amp; EMP-007</v>
      </c>
      <c r="P8" t="str">
        <f t="shared" si="7"/>
        <v>Maria Lopez - EMP-007 - Sales</v>
      </c>
    </row>
    <row r="9" spans="1:16" x14ac:dyDescent="0.45">
      <c r="A9" s="1" t="s">
        <v>40</v>
      </c>
      <c r="B9" s="1" t="s">
        <v>28</v>
      </c>
      <c r="C9" s="1">
        <v>8899776655</v>
      </c>
      <c r="D9" s="1" t="s">
        <v>29</v>
      </c>
      <c r="E9" s="1" t="s">
        <v>17</v>
      </c>
      <c r="F9" s="3">
        <v>43445</v>
      </c>
      <c r="G9" s="1" t="s">
        <v>21</v>
      </c>
      <c r="I9" t="str">
        <f t="shared" si="0"/>
        <v>Valid</v>
      </c>
      <c r="J9" t="str">
        <f t="shared" si="1"/>
        <v>John</v>
      </c>
      <c r="K9" t="str">
        <f t="shared" si="2"/>
        <v>Paul</v>
      </c>
      <c r="L9" t="str">
        <f t="shared" si="3"/>
        <v>YES</v>
      </c>
      <c r="M9" t="str">
        <f t="shared" si="4"/>
        <v>AVAILABLE</v>
      </c>
      <c r="N9" t="str">
        <f t="shared" si="5"/>
        <v>PRESENT</v>
      </c>
      <c r="O9" t="str">
        <f t="shared" si="6"/>
        <v>John Paul &amp; EMP-008</v>
      </c>
      <c r="P9" t="str">
        <f t="shared" si="7"/>
        <v>John Paul - EMP-008 - IT</v>
      </c>
    </row>
    <row r="10" spans="1:16" x14ac:dyDescent="0.45">
      <c r="A10" s="1" t="s">
        <v>41</v>
      </c>
      <c r="B10" s="1" t="s">
        <v>30</v>
      </c>
      <c r="C10" s="1">
        <v>9901122334</v>
      </c>
      <c r="D10" s="2" t="s">
        <v>31</v>
      </c>
      <c r="E10" s="1"/>
      <c r="F10" s="3">
        <v>45039</v>
      </c>
      <c r="G10" s="1" t="s">
        <v>10</v>
      </c>
      <c r="I10" t="str">
        <f t="shared" si="0"/>
        <v>Valid</v>
      </c>
      <c r="J10" t="str">
        <f t="shared" si="1"/>
        <v>Khushi</v>
      </c>
      <c r="K10" t="str">
        <f t="shared" si="2"/>
        <v>Jain</v>
      </c>
      <c r="L10" t="str">
        <f t="shared" si="3"/>
        <v>YES</v>
      </c>
      <c r="M10" t="str">
        <f t="shared" si="4"/>
        <v>AVAILABLE</v>
      </c>
      <c r="N10" t="str">
        <f t="shared" si="5"/>
        <v>PRESENT</v>
      </c>
      <c r="O10" t="str">
        <f t="shared" si="6"/>
        <v>Khushi Jain &amp; EMP-009</v>
      </c>
      <c r="P10" t="str">
        <f t="shared" si="7"/>
        <v xml:space="preserve">Khushi Jain - EMP-009 - </v>
      </c>
    </row>
    <row r="11" spans="1:16" x14ac:dyDescent="0.45">
      <c r="A11" s="1" t="s">
        <v>42</v>
      </c>
      <c r="B11" s="1" t="s">
        <v>44</v>
      </c>
      <c r="C11" s="1">
        <v>9811122233</v>
      </c>
      <c r="D11" s="2" t="s">
        <v>32</v>
      </c>
      <c r="E11" s="1" t="s">
        <v>9</v>
      </c>
      <c r="F11" s="3">
        <v>44728</v>
      </c>
      <c r="G11" s="1"/>
      <c r="I11" t="str">
        <f t="shared" si="0"/>
        <v>Valid</v>
      </c>
      <c r="J11" t="str">
        <f t="shared" si="1"/>
        <v>Rohan</v>
      </c>
      <c r="K11" t="str">
        <f t="shared" si="2"/>
        <v>M</v>
      </c>
      <c r="L11" t="str">
        <f t="shared" si="3"/>
        <v>YES</v>
      </c>
      <c r="M11" t="str">
        <f t="shared" si="4"/>
        <v>AVAILABLE</v>
      </c>
      <c r="N11" t="str">
        <f t="shared" si="5"/>
        <v>PRESENT</v>
      </c>
      <c r="O11" t="str">
        <f t="shared" si="6"/>
        <v>Rohan M &amp; EMP-010</v>
      </c>
      <c r="P11" t="str">
        <f t="shared" si="7"/>
        <v>Rohan M - EMP-010 - Sales</v>
      </c>
    </row>
  </sheetData>
  <phoneticPr fontId="3" type="noConversion"/>
  <hyperlinks>
    <hyperlink ref="D2" r:id="rId1" xr:uid="{F09AD907-91BB-42A8-9198-C92C40A967A2}"/>
    <hyperlink ref="D5" r:id="rId2" xr:uid="{0501D170-9B4B-4751-8620-1ABB268DF41B}"/>
    <hyperlink ref="D6" r:id="rId3" xr:uid="{881700B0-42D5-4156-AF72-A2BCACD53014}"/>
    <hyperlink ref="D7" r:id="rId4" xr:uid="{AEA2BDDF-BF4A-4C1A-80CC-2758590E533E}"/>
    <hyperlink ref="D10" r:id="rId5" xr:uid="{68829858-A0C3-46C7-9369-F3DF07624A55}"/>
    <hyperlink ref="D11" r:id="rId6" xr:uid="{1E0683C6-A48B-4022-97DF-F31BFA742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Aakash Dharshan</cp:lastModifiedBy>
  <cp:revision/>
  <dcterms:created xsi:type="dcterms:W3CDTF">2025-12-04T10:21:09Z</dcterms:created>
  <dcterms:modified xsi:type="dcterms:W3CDTF">2026-05-20T17:45:15Z</dcterms:modified>
  <cp:category/>
  <cp:contentStatus/>
</cp:coreProperties>
</file>