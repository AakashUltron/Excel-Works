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ITBridge\Excel With Proitbridge\"/>
    </mc:Choice>
  </mc:AlternateContent>
  <xr:revisionPtr revIDLastSave="0" documentId="13_ncr:1_{D4AE880F-47BC-405A-8AAA-81B793E95E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ogical Operator - AND OR" sheetId="1" r:id="rId1"/>
    <sheet name="Logical Operator - ISBLANK" sheetId="2" r:id="rId2"/>
    <sheet name="LEFT RIGHT MID" sheetId="3" r:id="rId3"/>
    <sheet name="CONCATENATE, TEST JOIN, CONCAT" sheetId="4" r:id="rId4"/>
    <sheet name="Practice Datas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4" l="1"/>
  <c r="D28" i="4"/>
  <c r="G10" i="4"/>
  <c r="G11" i="4"/>
  <c r="G9" i="4"/>
  <c r="F10" i="4"/>
  <c r="F11" i="4"/>
  <c r="F9" i="4"/>
  <c r="A13" i="3" a="1"/>
  <c r="A13" i="3" s="1"/>
  <c r="B7" i="3"/>
  <c r="B3" i="3"/>
  <c r="B17" i="2"/>
  <c r="B16" i="2"/>
  <c r="B7" i="2"/>
  <c r="B6" i="2"/>
  <c r="C9" i="1"/>
  <c r="C4" i="1"/>
  <c r="O2" i="5"/>
  <c r="P2" i="5"/>
  <c r="P3" i="5"/>
  <c r="P4" i="5"/>
  <c r="P5" i="5"/>
  <c r="P6" i="5"/>
  <c r="N3" i="5"/>
  <c r="N4" i="5"/>
  <c r="N5" i="5"/>
  <c r="N6" i="5"/>
  <c r="N2" i="5"/>
  <c r="M3" i="5"/>
  <c r="M4" i="5"/>
  <c r="M5" i="5"/>
  <c r="M6" i="5"/>
  <c r="M2" i="5"/>
  <c r="L3" i="5"/>
  <c r="L4" i="5"/>
  <c r="L5" i="5"/>
  <c r="L6" i="5"/>
  <c r="L2" i="5"/>
  <c r="K3" i="5"/>
  <c r="K4" i="5"/>
  <c r="K5" i="5"/>
  <c r="K6" i="5"/>
  <c r="K2" i="5"/>
  <c r="J3" i="5"/>
  <c r="J4" i="5"/>
  <c r="J5" i="5"/>
  <c r="J6" i="5"/>
  <c r="J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<sst xmlns="http://schemas.openxmlformats.org/spreadsheetml/2006/main" count="93" uniqueCount="77">
  <si>
    <t>If all numbers are greater than 30, return "Good", otherwise return "Bad"</t>
  </si>
  <si>
    <t>Number 1</t>
  </si>
  <si>
    <t>Number 2</t>
  </si>
  <si>
    <t>&lt;= Insert formula here</t>
  </si>
  <si>
    <t>If at least one number is greater than 30, return "Good", otherwise return "Bad"</t>
  </si>
  <si>
    <t>Check if the following cell is blank:</t>
  </si>
  <si>
    <t>Cell</t>
  </si>
  <si>
    <t>Is it blank?</t>
  </si>
  <si>
    <t>Bla bla bla</t>
  </si>
  <si>
    <t>Check if the following cell is blank. If so, return "No data", otherwise return "Cell is ok":</t>
  </si>
  <si>
    <t>The cat</t>
  </si>
  <si>
    <t>Extract the first 4 characters:</t>
  </si>
  <si>
    <t>Lady Gaga</t>
  </si>
  <si>
    <t>&lt; - Insert formula here!</t>
  </si>
  <si>
    <t>Extract the last 8 characters:</t>
  </si>
  <si>
    <t>Led Zeppelin</t>
  </si>
  <si>
    <t>Extract 26 characters from the 103rd character:</t>
  </si>
  <si>
    <t>dsdfsfweusdfdfvbtrefjnfsdf34fdfsdf34fsabcdefcdercvaaaaabg%4fds2dfsdf34rejnfejrnvjnjnfsaaaaadnfewfnjsdfI am absolutely amazing!!!wesdf34rsdfsdfewr34rwfsdfu34nunfsdufn3u4nffudsnfusf</t>
  </si>
  <si>
    <t>^ Insert formula ^</t>
  </si>
  <si>
    <t>CONCATENATE</t>
  </si>
  <si>
    <t>Use CONCATENATE in order to complete columns F and G. For example, for John Smith the result in Column D would be JohnSmit and in column F John-Smith</t>
  </si>
  <si>
    <t>Employee Code</t>
  </si>
  <si>
    <t>First Name</t>
  </si>
  <si>
    <t>Last Name</t>
  </si>
  <si>
    <t>First and last name (no space)</t>
  </si>
  <si>
    <t>First and last name (with dash)</t>
  </si>
  <si>
    <t>A100</t>
  </si>
  <si>
    <t>John</t>
  </si>
  <si>
    <t>Smith</t>
  </si>
  <si>
    <t>A101</t>
  </si>
  <si>
    <t>Jane</t>
  </si>
  <si>
    <t>Doe</t>
  </si>
  <si>
    <t>A102</t>
  </si>
  <si>
    <t>Bob</t>
  </si>
  <si>
    <t>Johnson</t>
  </si>
  <si>
    <t>TEXT JOIN</t>
  </si>
  <si>
    <t>CONCAT</t>
  </si>
  <si>
    <t>Use the space character as delimiter and ignore empty cells.</t>
  </si>
  <si>
    <t>Word</t>
  </si>
  <si>
    <t>Are</t>
  </si>
  <si>
    <t>Mary</t>
  </si>
  <si>
    <t>had</t>
  </si>
  <si>
    <t>You Sleeping</t>
  </si>
  <si>
    <t>A</t>
  </si>
  <si>
    <t>Little</t>
  </si>
  <si>
    <t>Brother John</t>
  </si>
  <si>
    <t>Lamb</t>
  </si>
  <si>
    <t>?</t>
  </si>
  <si>
    <t>Answer</t>
  </si>
  <si>
    <t>&lt;- Insert formula here</t>
  </si>
  <si>
    <t>&lt;-Insert Formula</t>
  </si>
  <si>
    <t>Product_ID</t>
  </si>
  <si>
    <t>Product_Name</t>
  </si>
  <si>
    <t>Category</t>
  </si>
  <si>
    <t>Price_per_Unit</t>
  </si>
  <si>
    <t>Quantity_sold</t>
  </si>
  <si>
    <t>Discount_rate</t>
  </si>
  <si>
    <t>Tax_rate</t>
  </si>
  <si>
    <t>Date_sold</t>
  </si>
  <si>
    <t>Store_location</t>
  </si>
  <si>
    <t>1. Total_price (Price per Unit × Quantity Sold)</t>
  </si>
  <si>
    <t>2. Discount Amount (Total Price × Discount Rate)</t>
  </si>
  <si>
    <t>3. Price After Discount (Total Price – Discount Amount)</t>
  </si>
  <si>
    <t>4.Tax Amount (Price After Discount × Tax Rate)</t>
  </si>
  <si>
    <t>5. Final Price(Price after Discount + Tax amount)</t>
  </si>
  <si>
    <t>6. Total Quantity Sold for a Specific Store(Sum of Quantity Sold where Store Location = "Store Name")</t>
  </si>
  <si>
    <t>7.Tax Amount (Using Fixed Tax Rate) (Price After Discount × Fixed Tax Rate)</t>
  </si>
  <si>
    <t>Apple</t>
  </si>
  <si>
    <t>Fruit</t>
  </si>
  <si>
    <t>New York</t>
  </si>
  <si>
    <t>Mango</t>
  </si>
  <si>
    <t>Los Angeles</t>
  </si>
  <si>
    <t>Banana</t>
  </si>
  <si>
    <t>Chicago</t>
  </si>
  <si>
    <t>Grapes</t>
  </si>
  <si>
    <t>Houston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</si>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</sst>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2" x14ac:knownFonts="1">
    <font>
      <sz val="10"/>
      <color rgb="FF000000"/>
      <name val="Arial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7"/>
      <color rgb="FF000000"/>
      <name val="Arial"/>
    </font>
    <font>
      <sz val="14"/>
      <color rgb="FF000000"/>
      <name val="Calibri"/>
    </font>
    <font>
      <b/>
      <sz val="11"/>
      <color rgb="FF374151"/>
      <name val="Arial"/>
    </font>
    <font>
      <sz val="11"/>
      <color rgb="FF374151"/>
      <name val="Arial"/>
    </font>
    <font>
      <sz val="12"/>
      <color rgb="FF000000"/>
      <name val="Calibri"/>
    </font>
    <font>
      <b/>
      <sz val="12"/>
      <color rgb="FF000000"/>
      <name val="Segoe UI Variable Text Semibold"/>
    </font>
    <font>
      <sz val="12"/>
      <color rgb="FF000000"/>
      <name val="Segoe UI Variable Text Semibold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9F9"/>
        <bgColor rgb="FFFAF9F9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3" fillId="0" borderId="4" xfId="0" applyFont="1" applyBorder="1"/>
    <xf numFmtId="0" fontId="3" fillId="0" borderId="0" xfId="0" applyFont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0" fontId="1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3" fillId="0" borderId="9" xfId="0" applyFont="1" applyBorder="1"/>
    <xf numFmtId="0" fontId="3" fillId="0" borderId="8" xfId="0" applyFont="1" applyBorder="1"/>
    <xf numFmtId="0" fontId="2" fillId="0" borderId="9" xfId="0" applyFont="1" applyBorder="1"/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/>
    <xf numFmtId="0" fontId="3" fillId="0" borderId="1" xfId="0" applyFont="1" applyBorder="1"/>
    <xf numFmtId="0" fontId="2" fillId="2" borderId="4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6" fillId="0" borderId="0" xfId="0" applyFont="1"/>
    <xf numFmtId="0" fontId="7" fillId="0" borderId="8" xfId="0" applyFont="1" applyBorder="1"/>
    <xf numFmtId="0" fontId="8" fillId="0" borderId="8" xfId="0" applyFont="1" applyBorder="1"/>
    <xf numFmtId="0" fontId="9" fillId="0" borderId="0" xfId="0" applyFont="1"/>
    <xf numFmtId="0" fontId="5" fillId="0" borderId="0" xfId="0" applyFont="1"/>
    <xf numFmtId="0" fontId="0" fillId="0" borderId="0" xfId="0"/>
    <xf numFmtId="0" fontId="10" fillId="0" borderId="10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right" wrapText="1"/>
    </xf>
    <xf numFmtId="164" fontId="11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10" sqref="C10"/>
    </sheetView>
  </sheetViews>
  <sheetFormatPr defaultColWidth="12.59765625" defaultRowHeight="15.75" customHeight="1" x14ac:dyDescent="0.35"/>
  <cols>
    <col min="1" max="1" width="11.46484375" customWidth="1"/>
  </cols>
  <sheetData>
    <row r="1" spans="1:26" ht="15.75" customHeight="1" x14ac:dyDescent="0.5500000000000000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 x14ac:dyDescent="0.4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 x14ac:dyDescent="0.45">
      <c r="A3" s="7" t="s">
        <v>1</v>
      </c>
      <c r="B3" s="8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 x14ac:dyDescent="0.5">
      <c r="A4" s="9">
        <v>40</v>
      </c>
      <c r="B4" s="10">
        <v>25</v>
      </c>
      <c r="C4" s="11" t="str">
        <f>IF(AND(A4&gt;30,B4&gt;30),"GOOD","BAD")</f>
        <v>BAD</v>
      </c>
      <c r="D4" s="12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 x14ac:dyDescent="0.4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 x14ac:dyDescent="0.55000000000000004">
      <c r="A6" s="13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 x14ac:dyDescent="0.4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 x14ac:dyDescent="0.45">
      <c r="A8" s="7" t="s">
        <v>1</v>
      </c>
      <c r="B8" s="8" t="s">
        <v>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 x14ac:dyDescent="0.5">
      <c r="A9" s="9">
        <v>40</v>
      </c>
      <c r="B9" s="10">
        <v>25</v>
      </c>
      <c r="C9" s="11" t="str">
        <f>IF(OR(A9&gt;30,B9&gt;30),"GOOD","BAD")</f>
        <v>GOOD</v>
      </c>
      <c r="D9" s="12" t="s">
        <v>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 x14ac:dyDescent="0.4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 x14ac:dyDescent="0.4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 x14ac:dyDescent="0.4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 x14ac:dyDescent="0.4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 x14ac:dyDescent="0.4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 x14ac:dyDescent="0.4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 x14ac:dyDescent="0.4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 x14ac:dyDescent="0.4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 x14ac:dyDescent="0.4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 x14ac:dyDescent="0.4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 x14ac:dyDescent="0.4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 x14ac:dyDescent="0.4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 x14ac:dyDescent="0.4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 x14ac:dyDescent="0.4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 x14ac:dyDescent="0.4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 x14ac:dyDescent="0.4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 x14ac:dyDescent="0.4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5.75" customHeight="1" x14ac:dyDescent="0.4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25" x14ac:dyDescent="0.4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25" x14ac:dyDescent="0.4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25" x14ac:dyDescent="0.4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25" x14ac:dyDescent="0.4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25" x14ac:dyDescent="0.4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25" x14ac:dyDescent="0.4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25" x14ac:dyDescent="0.4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25" x14ac:dyDescent="0.4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25" x14ac:dyDescent="0.4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25" x14ac:dyDescent="0.4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25" x14ac:dyDescent="0.4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25" x14ac:dyDescent="0.4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25" x14ac:dyDescent="0.4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25" x14ac:dyDescent="0.4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25" x14ac:dyDescent="0.4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25" x14ac:dyDescent="0.4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25" x14ac:dyDescent="0.4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25" x14ac:dyDescent="0.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25" x14ac:dyDescent="0.4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25" x14ac:dyDescent="0.4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25" x14ac:dyDescent="0.4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25" x14ac:dyDescent="0.4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25" x14ac:dyDescent="0.4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25" x14ac:dyDescent="0.4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25" x14ac:dyDescent="0.4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25" x14ac:dyDescent="0.4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25" x14ac:dyDescent="0.4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25" x14ac:dyDescent="0.4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25" x14ac:dyDescent="0.4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25" x14ac:dyDescent="0.4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25" x14ac:dyDescent="0.4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25" x14ac:dyDescent="0.4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25" x14ac:dyDescent="0.4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25" x14ac:dyDescent="0.4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25" x14ac:dyDescent="0.4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25" x14ac:dyDescent="0.4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25" x14ac:dyDescent="0.4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25" x14ac:dyDescent="0.4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25" x14ac:dyDescent="0.4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25" x14ac:dyDescent="0.4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25" x14ac:dyDescent="0.4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25" x14ac:dyDescent="0.4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25" x14ac:dyDescent="0.4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25" x14ac:dyDescent="0.4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25" x14ac:dyDescent="0.4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25" x14ac:dyDescent="0.4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25" x14ac:dyDescent="0.4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25" x14ac:dyDescent="0.4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25" x14ac:dyDescent="0.4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25" x14ac:dyDescent="0.4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25" x14ac:dyDescent="0.4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25" x14ac:dyDescent="0.4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25" x14ac:dyDescent="0.4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25" x14ac:dyDescent="0.4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25" x14ac:dyDescent="0.4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25" x14ac:dyDescent="0.4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25" x14ac:dyDescent="0.4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25" x14ac:dyDescent="0.4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25" x14ac:dyDescent="0.4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25" x14ac:dyDescent="0.4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25" x14ac:dyDescent="0.4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25" x14ac:dyDescent="0.4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25" x14ac:dyDescent="0.4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25" x14ac:dyDescent="0.4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25" x14ac:dyDescent="0.4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25" x14ac:dyDescent="0.4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25" x14ac:dyDescent="0.4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25" x14ac:dyDescent="0.4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25" x14ac:dyDescent="0.4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25" x14ac:dyDescent="0.4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25" x14ac:dyDescent="0.4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25" x14ac:dyDescent="0.4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25" x14ac:dyDescent="0.4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25" x14ac:dyDescent="0.4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25" x14ac:dyDescent="0.4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25" x14ac:dyDescent="0.4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25" x14ac:dyDescent="0.4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25" x14ac:dyDescent="0.4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25" x14ac:dyDescent="0.4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25" x14ac:dyDescent="0.4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25" x14ac:dyDescent="0.4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25" x14ac:dyDescent="0.4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25" x14ac:dyDescent="0.4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25" x14ac:dyDescent="0.4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25" x14ac:dyDescent="0.4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25" x14ac:dyDescent="0.4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25" x14ac:dyDescent="0.4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25" x14ac:dyDescent="0.4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25" x14ac:dyDescent="0.4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25" x14ac:dyDescent="0.4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25" x14ac:dyDescent="0.4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25" x14ac:dyDescent="0.4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25" x14ac:dyDescent="0.4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25" x14ac:dyDescent="0.4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25" x14ac:dyDescent="0.4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25" x14ac:dyDescent="0.4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25" x14ac:dyDescent="0.4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25" x14ac:dyDescent="0.4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25" x14ac:dyDescent="0.4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25" x14ac:dyDescent="0.4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25" x14ac:dyDescent="0.4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25" x14ac:dyDescent="0.4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25" x14ac:dyDescent="0.4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25" x14ac:dyDescent="0.4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25" x14ac:dyDescent="0.4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25" x14ac:dyDescent="0.4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25" x14ac:dyDescent="0.4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25" x14ac:dyDescent="0.4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25" x14ac:dyDescent="0.4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25" x14ac:dyDescent="0.4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25" x14ac:dyDescent="0.4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25" x14ac:dyDescent="0.4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25" x14ac:dyDescent="0.4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25" x14ac:dyDescent="0.4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25" x14ac:dyDescent="0.4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25" x14ac:dyDescent="0.4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25" x14ac:dyDescent="0.4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25" x14ac:dyDescent="0.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25" x14ac:dyDescent="0.4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25" x14ac:dyDescent="0.4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25" x14ac:dyDescent="0.4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25" x14ac:dyDescent="0.4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25" x14ac:dyDescent="0.4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25" x14ac:dyDescent="0.4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25" x14ac:dyDescent="0.4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25" x14ac:dyDescent="0.4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25" x14ac:dyDescent="0.4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25" x14ac:dyDescent="0.4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25" x14ac:dyDescent="0.4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25" x14ac:dyDescent="0.4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25" x14ac:dyDescent="0.4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25" x14ac:dyDescent="0.4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25" x14ac:dyDescent="0.4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25" x14ac:dyDescent="0.4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25" x14ac:dyDescent="0.4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25" x14ac:dyDescent="0.4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25" x14ac:dyDescent="0.4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25" x14ac:dyDescent="0.4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25" x14ac:dyDescent="0.4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25" x14ac:dyDescent="0.4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25" x14ac:dyDescent="0.4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25" x14ac:dyDescent="0.4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25" x14ac:dyDescent="0.4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25" x14ac:dyDescent="0.4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25" x14ac:dyDescent="0.4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25" x14ac:dyDescent="0.4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25" x14ac:dyDescent="0.4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25" x14ac:dyDescent="0.4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25" x14ac:dyDescent="0.4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25" x14ac:dyDescent="0.4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25" x14ac:dyDescent="0.4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25" x14ac:dyDescent="0.4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25" x14ac:dyDescent="0.4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25" x14ac:dyDescent="0.4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25" x14ac:dyDescent="0.4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25" x14ac:dyDescent="0.4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25" x14ac:dyDescent="0.4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25" x14ac:dyDescent="0.4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25" x14ac:dyDescent="0.4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25" x14ac:dyDescent="0.4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25" x14ac:dyDescent="0.4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25" x14ac:dyDescent="0.4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25" x14ac:dyDescent="0.4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25" x14ac:dyDescent="0.4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25" x14ac:dyDescent="0.4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25" x14ac:dyDescent="0.4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25" x14ac:dyDescent="0.4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25" x14ac:dyDescent="0.4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25" x14ac:dyDescent="0.4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25" x14ac:dyDescent="0.4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25" x14ac:dyDescent="0.4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25" x14ac:dyDescent="0.4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25" x14ac:dyDescent="0.4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25" x14ac:dyDescent="0.4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4.25" x14ac:dyDescent="0.45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4.25" x14ac:dyDescent="0.4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4.25" x14ac:dyDescent="0.45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4.25" x14ac:dyDescent="0.4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4.25" x14ac:dyDescent="0.45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4.25" x14ac:dyDescent="0.4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4.25" x14ac:dyDescent="0.4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4.25" x14ac:dyDescent="0.4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4.25" x14ac:dyDescent="0.4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4.25" x14ac:dyDescent="0.4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4.25" x14ac:dyDescent="0.4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4.25" x14ac:dyDescent="0.4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4.25" x14ac:dyDescent="0.4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4.25" x14ac:dyDescent="0.4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4.25" x14ac:dyDescent="0.45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4.25" x14ac:dyDescent="0.45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4.25" x14ac:dyDescent="0.45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4.25" x14ac:dyDescent="0.4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4.25" x14ac:dyDescent="0.4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4.25" x14ac:dyDescent="0.4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4.25" x14ac:dyDescent="0.4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4.25" x14ac:dyDescent="0.45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4.25" x14ac:dyDescent="0.45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4.25" x14ac:dyDescent="0.4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4.25" x14ac:dyDescent="0.45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4.25" x14ac:dyDescent="0.45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4.25" x14ac:dyDescent="0.45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4.25" x14ac:dyDescent="0.45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4.25" x14ac:dyDescent="0.45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4.25" x14ac:dyDescent="0.4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4.25" x14ac:dyDescent="0.45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4.25" x14ac:dyDescent="0.45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4.25" x14ac:dyDescent="0.45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4.25" x14ac:dyDescent="0.4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4.25" x14ac:dyDescent="0.45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4.25" x14ac:dyDescent="0.45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4.25" x14ac:dyDescent="0.45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4.25" x14ac:dyDescent="0.45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4.25" x14ac:dyDescent="0.45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4.25" x14ac:dyDescent="0.45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4.25" x14ac:dyDescent="0.4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4.25" x14ac:dyDescent="0.45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4.25" x14ac:dyDescent="0.45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4.25" x14ac:dyDescent="0.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4.25" x14ac:dyDescent="0.45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4.25" x14ac:dyDescent="0.45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4.25" x14ac:dyDescent="0.45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4.25" x14ac:dyDescent="0.45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4.25" x14ac:dyDescent="0.45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4.25" x14ac:dyDescent="0.4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4.25" x14ac:dyDescent="0.45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4.25" x14ac:dyDescent="0.45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4.25" x14ac:dyDescent="0.4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4.25" x14ac:dyDescent="0.4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4.25" x14ac:dyDescent="0.45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4.25" x14ac:dyDescent="0.45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4.25" x14ac:dyDescent="0.45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4.25" x14ac:dyDescent="0.45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4.25" x14ac:dyDescent="0.45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4.25" x14ac:dyDescent="0.4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4.25" x14ac:dyDescent="0.4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4.25" x14ac:dyDescent="0.45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4.25" x14ac:dyDescent="0.4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4.25" x14ac:dyDescent="0.4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4.25" x14ac:dyDescent="0.45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4.25" x14ac:dyDescent="0.4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4.25" x14ac:dyDescent="0.45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4.25" x14ac:dyDescent="0.45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4.25" x14ac:dyDescent="0.45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4.25" x14ac:dyDescent="0.45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4.25" x14ac:dyDescent="0.45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4.25" x14ac:dyDescent="0.4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4.25" x14ac:dyDescent="0.45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4.25" x14ac:dyDescent="0.4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4.25" x14ac:dyDescent="0.4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4.25" x14ac:dyDescent="0.4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4.25" x14ac:dyDescent="0.45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4.25" x14ac:dyDescent="0.45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4.25" x14ac:dyDescent="0.4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4.25" x14ac:dyDescent="0.4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4.25" x14ac:dyDescent="0.4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4.25" x14ac:dyDescent="0.4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4.25" x14ac:dyDescent="0.4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4.25" x14ac:dyDescent="0.4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4.25" x14ac:dyDescent="0.4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4.25" x14ac:dyDescent="0.4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4.25" x14ac:dyDescent="0.4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4.25" x14ac:dyDescent="0.4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4.25" x14ac:dyDescent="0.4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4.25" x14ac:dyDescent="0.4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4.25" x14ac:dyDescent="0.4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4.25" x14ac:dyDescent="0.4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4.25" x14ac:dyDescent="0.45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4.25" x14ac:dyDescent="0.4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4.25" x14ac:dyDescent="0.4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4.25" x14ac:dyDescent="0.4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4.25" x14ac:dyDescent="0.4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4.25" x14ac:dyDescent="0.4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4.25" x14ac:dyDescent="0.4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4.25" x14ac:dyDescent="0.4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4.25" x14ac:dyDescent="0.4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4.25" x14ac:dyDescent="0.4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4.25" x14ac:dyDescent="0.4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4.25" x14ac:dyDescent="0.4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4.25" x14ac:dyDescent="0.4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4.25" x14ac:dyDescent="0.45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4.25" x14ac:dyDescent="0.4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4.25" x14ac:dyDescent="0.4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4.25" x14ac:dyDescent="0.4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4.25" x14ac:dyDescent="0.4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4.25" x14ac:dyDescent="0.4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4.25" x14ac:dyDescent="0.4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4.25" x14ac:dyDescent="0.4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4.25" x14ac:dyDescent="0.4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4.25" x14ac:dyDescent="0.4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4.25" x14ac:dyDescent="0.4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4.25" x14ac:dyDescent="0.4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4.25" x14ac:dyDescent="0.4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4.25" x14ac:dyDescent="0.4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4.25" x14ac:dyDescent="0.4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4.25" x14ac:dyDescent="0.4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4.25" x14ac:dyDescent="0.4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4.25" x14ac:dyDescent="0.4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4.25" x14ac:dyDescent="0.4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4.25" x14ac:dyDescent="0.4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4.25" x14ac:dyDescent="0.4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4.25" x14ac:dyDescent="0.4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4.25" x14ac:dyDescent="0.4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4.25" x14ac:dyDescent="0.4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4.25" x14ac:dyDescent="0.4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4.25" x14ac:dyDescent="0.4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4.25" x14ac:dyDescent="0.4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4.25" x14ac:dyDescent="0.4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4.25" x14ac:dyDescent="0.4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4.25" x14ac:dyDescent="0.4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4.25" x14ac:dyDescent="0.4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4.25" x14ac:dyDescent="0.4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4.25" x14ac:dyDescent="0.4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4.25" x14ac:dyDescent="0.4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4.25" x14ac:dyDescent="0.4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4.25" x14ac:dyDescent="0.4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4.25" x14ac:dyDescent="0.4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4.25" x14ac:dyDescent="0.4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4.25" x14ac:dyDescent="0.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4.25" x14ac:dyDescent="0.4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4.25" x14ac:dyDescent="0.4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4.25" x14ac:dyDescent="0.4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4.25" x14ac:dyDescent="0.4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4.25" x14ac:dyDescent="0.4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4.25" x14ac:dyDescent="0.4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4.25" x14ac:dyDescent="0.4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4.25" x14ac:dyDescent="0.4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4.25" x14ac:dyDescent="0.4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4.25" x14ac:dyDescent="0.4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4.25" x14ac:dyDescent="0.4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4.25" x14ac:dyDescent="0.45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4.25" x14ac:dyDescent="0.45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4.25" x14ac:dyDescent="0.45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4.25" x14ac:dyDescent="0.45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4.25" x14ac:dyDescent="0.45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4.25" x14ac:dyDescent="0.4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4.25" x14ac:dyDescent="0.45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4.25" x14ac:dyDescent="0.4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4.25" x14ac:dyDescent="0.4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4.25" x14ac:dyDescent="0.4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4.25" x14ac:dyDescent="0.4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4.25" x14ac:dyDescent="0.4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4.25" x14ac:dyDescent="0.4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4.25" x14ac:dyDescent="0.4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4.25" x14ac:dyDescent="0.4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4.25" x14ac:dyDescent="0.4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4.25" x14ac:dyDescent="0.4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4.25" x14ac:dyDescent="0.4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4.25" x14ac:dyDescent="0.4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4.25" x14ac:dyDescent="0.4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4.25" x14ac:dyDescent="0.4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4.25" x14ac:dyDescent="0.4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4.25" x14ac:dyDescent="0.4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4.25" x14ac:dyDescent="0.4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4.25" x14ac:dyDescent="0.4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4.25" x14ac:dyDescent="0.4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4.25" x14ac:dyDescent="0.4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4.25" x14ac:dyDescent="0.4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4.25" x14ac:dyDescent="0.4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4.25" x14ac:dyDescent="0.45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4.25" x14ac:dyDescent="0.45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4.25" x14ac:dyDescent="0.4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4.25" x14ac:dyDescent="0.45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4.25" x14ac:dyDescent="0.4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4.25" x14ac:dyDescent="0.4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4.25" x14ac:dyDescent="0.45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4.25" x14ac:dyDescent="0.4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4.25" x14ac:dyDescent="0.4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4.25" x14ac:dyDescent="0.4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4.25" x14ac:dyDescent="0.45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4.25" x14ac:dyDescent="0.45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4.25" x14ac:dyDescent="0.4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4.25" x14ac:dyDescent="0.4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4.25" x14ac:dyDescent="0.4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4.25" x14ac:dyDescent="0.4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4.25" x14ac:dyDescent="0.45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4.25" x14ac:dyDescent="0.4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4.25" x14ac:dyDescent="0.45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4.25" x14ac:dyDescent="0.4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4.25" x14ac:dyDescent="0.4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4.25" x14ac:dyDescent="0.45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4.25" x14ac:dyDescent="0.4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4.25" x14ac:dyDescent="0.4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4.25" x14ac:dyDescent="0.4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4.25" x14ac:dyDescent="0.4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4.25" x14ac:dyDescent="0.4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4.25" x14ac:dyDescent="0.4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4.25" x14ac:dyDescent="0.45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4.25" x14ac:dyDescent="0.4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4.25" x14ac:dyDescent="0.4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4.25" x14ac:dyDescent="0.4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4.25" x14ac:dyDescent="0.45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4.25" x14ac:dyDescent="0.4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4.25" x14ac:dyDescent="0.4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4.25" x14ac:dyDescent="0.4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4.25" x14ac:dyDescent="0.45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4.25" x14ac:dyDescent="0.4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4.25" x14ac:dyDescent="0.4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4.25" x14ac:dyDescent="0.4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4.25" x14ac:dyDescent="0.4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4.25" x14ac:dyDescent="0.4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4.25" x14ac:dyDescent="0.4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4.25" x14ac:dyDescent="0.4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4.25" x14ac:dyDescent="0.4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4.25" x14ac:dyDescent="0.4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4.25" x14ac:dyDescent="0.45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4.25" x14ac:dyDescent="0.4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4.25" x14ac:dyDescent="0.4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4.25" x14ac:dyDescent="0.4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4.25" x14ac:dyDescent="0.4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4.25" x14ac:dyDescent="0.4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4.25" x14ac:dyDescent="0.4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4.25" x14ac:dyDescent="0.4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4.25" x14ac:dyDescent="0.4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4.25" x14ac:dyDescent="0.45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4.25" x14ac:dyDescent="0.4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4.25" x14ac:dyDescent="0.4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4.25" x14ac:dyDescent="0.4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4.25" x14ac:dyDescent="0.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4.25" x14ac:dyDescent="0.45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4.25" x14ac:dyDescent="0.4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4.25" x14ac:dyDescent="0.4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4.25" x14ac:dyDescent="0.45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4.25" x14ac:dyDescent="0.4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4.25" x14ac:dyDescent="0.4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4.25" x14ac:dyDescent="0.4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4.25" x14ac:dyDescent="0.4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4.25" x14ac:dyDescent="0.4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4.25" x14ac:dyDescent="0.4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4.25" x14ac:dyDescent="0.45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4.25" x14ac:dyDescent="0.45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4.25" x14ac:dyDescent="0.4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4.25" x14ac:dyDescent="0.4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4.25" x14ac:dyDescent="0.45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4.25" x14ac:dyDescent="0.45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4.25" x14ac:dyDescent="0.45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4.25" x14ac:dyDescent="0.45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4.25" x14ac:dyDescent="0.45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4.25" x14ac:dyDescent="0.4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4.25" x14ac:dyDescent="0.45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4.25" x14ac:dyDescent="0.45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4.25" x14ac:dyDescent="0.45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4.25" x14ac:dyDescent="0.45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4.25" x14ac:dyDescent="0.45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4.25" x14ac:dyDescent="0.45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4.25" x14ac:dyDescent="0.45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4.25" x14ac:dyDescent="0.45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4.25" x14ac:dyDescent="0.45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4.25" x14ac:dyDescent="0.4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4.25" x14ac:dyDescent="0.45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4.25" x14ac:dyDescent="0.4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4.25" x14ac:dyDescent="0.4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4.25" x14ac:dyDescent="0.4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4.25" x14ac:dyDescent="0.4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4.25" x14ac:dyDescent="0.4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4.25" x14ac:dyDescent="0.4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4.25" x14ac:dyDescent="0.4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4.25" x14ac:dyDescent="0.4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4.25" x14ac:dyDescent="0.4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4.25" x14ac:dyDescent="0.4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4.25" x14ac:dyDescent="0.4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4.25" x14ac:dyDescent="0.4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4.25" x14ac:dyDescent="0.4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4.25" x14ac:dyDescent="0.4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4.25" x14ac:dyDescent="0.4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4.25" x14ac:dyDescent="0.4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4.25" x14ac:dyDescent="0.4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4.25" x14ac:dyDescent="0.4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4.25" x14ac:dyDescent="0.4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4.25" x14ac:dyDescent="0.4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4.25" x14ac:dyDescent="0.4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4.25" x14ac:dyDescent="0.4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4.25" x14ac:dyDescent="0.4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4.25" x14ac:dyDescent="0.4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4.25" x14ac:dyDescent="0.4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4.25" x14ac:dyDescent="0.4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4.25" x14ac:dyDescent="0.4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4.25" x14ac:dyDescent="0.4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4.25" x14ac:dyDescent="0.4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4.25" x14ac:dyDescent="0.4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4.25" x14ac:dyDescent="0.4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4.25" x14ac:dyDescent="0.4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4.25" x14ac:dyDescent="0.4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4.25" x14ac:dyDescent="0.4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4.25" x14ac:dyDescent="0.4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4.25" x14ac:dyDescent="0.4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4.25" x14ac:dyDescent="0.4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4.25" x14ac:dyDescent="0.4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4.25" x14ac:dyDescent="0.4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4.25" x14ac:dyDescent="0.4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4.25" x14ac:dyDescent="0.4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4.25" x14ac:dyDescent="0.4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4.25" x14ac:dyDescent="0.4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4.25" x14ac:dyDescent="0.4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4.25" x14ac:dyDescent="0.4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4.25" x14ac:dyDescent="0.4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4.25" x14ac:dyDescent="0.4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4.25" x14ac:dyDescent="0.4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4.25" x14ac:dyDescent="0.4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4.25" x14ac:dyDescent="0.4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4.25" x14ac:dyDescent="0.4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4.25" x14ac:dyDescent="0.4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4.25" x14ac:dyDescent="0.4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4.25" x14ac:dyDescent="0.4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4.25" x14ac:dyDescent="0.4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4.25" x14ac:dyDescent="0.4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4.25" x14ac:dyDescent="0.4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4.25" x14ac:dyDescent="0.4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4.25" x14ac:dyDescent="0.4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4.25" x14ac:dyDescent="0.4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4.25" x14ac:dyDescent="0.4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4.25" x14ac:dyDescent="0.4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4.25" x14ac:dyDescent="0.4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4.25" x14ac:dyDescent="0.4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4.25" x14ac:dyDescent="0.4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4.25" x14ac:dyDescent="0.4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4.25" x14ac:dyDescent="0.4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4.25" x14ac:dyDescent="0.4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4.25" x14ac:dyDescent="0.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4.25" x14ac:dyDescent="0.4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4.25" x14ac:dyDescent="0.4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4.25" x14ac:dyDescent="0.4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4.25" x14ac:dyDescent="0.4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4.25" x14ac:dyDescent="0.4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4.25" x14ac:dyDescent="0.4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4.25" x14ac:dyDescent="0.4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4.25" x14ac:dyDescent="0.4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4.25" x14ac:dyDescent="0.4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4.25" x14ac:dyDescent="0.4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4.25" x14ac:dyDescent="0.4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4.25" x14ac:dyDescent="0.4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4.25" x14ac:dyDescent="0.4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4.25" x14ac:dyDescent="0.4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4.25" x14ac:dyDescent="0.4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4.25" x14ac:dyDescent="0.4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4.25" x14ac:dyDescent="0.4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4.25" x14ac:dyDescent="0.4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4.25" x14ac:dyDescent="0.4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4.25" x14ac:dyDescent="0.4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4.25" x14ac:dyDescent="0.4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4.25" x14ac:dyDescent="0.4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4.25" x14ac:dyDescent="0.4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4.25" x14ac:dyDescent="0.4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4.25" x14ac:dyDescent="0.4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4.25" x14ac:dyDescent="0.4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4.25" x14ac:dyDescent="0.4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4.25" x14ac:dyDescent="0.4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4.25" x14ac:dyDescent="0.4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4.25" x14ac:dyDescent="0.4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4.25" x14ac:dyDescent="0.4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4.25" x14ac:dyDescent="0.4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4.25" x14ac:dyDescent="0.4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4.25" x14ac:dyDescent="0.4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4.25" x14ac:dyDescent="0.4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4.25" x14ac:dyDescent="0.4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4.25" x14ac:dyDescent="0.4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4.25" x14ac:dyDescent="0.4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4.25" x14ac:dyDescent="0.4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4.25" x14ac:dyDescent="0.4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4.25" x14ac:dyDescent="0.4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4.25" x14ac:dyDescent="0.4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4.25" x14ac:dyDescent="0.4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4.25" x14ac:dyDescent="0.4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4.25" x14ac:dyDescent="0.4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4.25" x14ac:dyDescent="0.4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4.25" x14ac:dyDescent="0.4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4.25" x14ac:dyDescent="0.4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4.25" x14ac:dyDescent="0.4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4.25" x14ac:dyDescent="0.4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4.25" x14ac:dyDescent="0.4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4.25" x14ac:dyDescent="0.4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4.25" x14ac:dyDescent="0.4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4.25" x14ac:dyDescent="0.4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4.25" x14ac:dyDescent="0.4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4.25" x14ac:dyDescent="0.4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4.25" x14ac:dyDescent="0.4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4.25" x14ac:dyDescent="0.4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4.25" x14ac:dyDescent="0.4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4.25" x14ac:dyDescent="0.4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4.25" x14ac:dyDescent="0.4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4.25" x14ac:dyDescent="0.4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4.25" x14ac:dyDescent="0.4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4.25" x14ac:dyDescent="0.4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4.25" x14ac:dyDescent="0.4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4.25" x14ac:dyDescent="0.4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4.25" x14ac:dyDescent="0.4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4.25" x14ac:dyDescent="0.4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4.25" x14ac:dyDescent="0.4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4.25" x14ac:dyDescent="0.4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4.25" x14ac:dyDescent="0.4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4.25" x14ac:dyDescent="0.4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4.25" x14ac:dyDescent="0.4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4.25" x14ac:dyDescent="0.4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4.25" x14ac:dyDescent="0.4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4.25" x14ac:dyDescent="0.4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4.25" x14ac:dyDescent="0.4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4.25" x14ac:dyDescent="0.4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4.25" x14ac:dyDescent="0.4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4.25" x14ac:dyDescent="0.4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4.25" x14ac:dyDescent="0.4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4.25" x14ac:dyDescent="0.4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4.25" x14ac:dyDescent="0.4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4.25" x14ac:dyDescent="0.4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4.25" x14ac:dyDescent="0.4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4.25" x14ac:dyDescent="0.4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4.25" x14ac:dyDescent="0.4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4.25" x14ac:dyDescent="0.4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4.25" x14ac:dyDescent="0.4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4.25" x14ac:dyDescent="0.4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4.25" x14ac:dyDescent="0.4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4.25" x14ac:dyDescent="0.4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4.25" x14ac:dyDescent="0.4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4.25" x14ac:dyDescent="0.4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4.25" x14ac:dyDescent="0.4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4.25" x14ac:dyDescent="0.4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4.25" x14ac:dyDescent="0.4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4.25" x14ac:dyDescent="0.4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4.25" x14ac:dyDescent="0.4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4.25" x14ac:dyDescent="0.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4.25" x14ac:dyDescent="0.4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4.25" x14ac:dyDescent="0.4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4.25" x14ac:dyDescent="0.4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4.25" x14ac:dyDescent="0.4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4.25" x14ac:dyDescent="0.4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4.25" x14ac:dyDescent="0.4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4.25" x14ac:dyDescent="0.4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4.25" x14ac:dyDescent="0.4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4.25" x14ac:dyDescent="0.4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4.25" x14ac:dyDescent="0.4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4.25" x14ac:dyDescent="0.4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4.25" x14ac:dyDescent="0.4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4.25" x14ac:dyDescent="0.4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4.25" x14ac:dyDescent="0.4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4.25" x14ac:dyDescent="0.4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4.25" x14ac:dyDescent="0.4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4.25" x14ac:dyDescent="0.4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4.25" x14ac:dyDescent="0.4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4.25" x14ac:dyDescent="0.4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4.25" x14ac:dyDescent="0.4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4.25" x14ac:dyDescent="0.4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4.25" x14ac:dyDescent="0.4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4.25" x14ac:dyDescent="0.4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4.25" x14ac:dyDescent="0.4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4.25" x14ac:dyDescent="0.4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4.25" x14ac:dyDescent="0.4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4.25" x14ac:dyDescent="0.4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4.25" x14ac:dyDescent="0.4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4.25" x14ac:dyDescent="0.4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4.25" x14ac:dyDescent="0.4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4.25" x14ac:dyDescent="0.4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4.25" x14ac:dyDescent="0.4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4.25" x14ac:dyDescent="0.4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4.25" x14ac:dyDescent="0.4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4.25" x14ac:dyDescent="0.4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4.25" x14ac:dyDescent="0.4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4.25" x14ac:dyDescent="0.4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4.25" x14ac:dyDescent="0.4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4.25" x14ac:dyDescent="0.4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4.25" x14ac:dyDescent="0.4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4.25" x14ac:dyDescent="0.4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4.25" x14ac:dyDescent="0.4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4.25" x14ac:dyDescent="0.4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4.25" x14ac:dyDescent="0.4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4.25" x14ac:dyDescent="0.4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4.25" x14ac:dyDescent="0.4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4.25" x14ac:dyDescent="0.4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4.25" x14ac:dyDescent="0.4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4.25" x14ac:dyDescent="0.4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4.25" x14ac:dyDescent="0.4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4.25" x14ac:dyDescent="0.4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4.25" x14ac:dyDescent="0.4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4.25" x14ac:dyDescent="0.4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4.25" x14ac:dyDescent="0.4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4.25" x14ac:dyDescent="0.4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4.25" x14ac:dyDescent="0.4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4.25" x14ac:dyDescent="0.4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4.25" x14ac:dyDescent="0.4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4.25" x14ac:dyDescent="0.4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4.25" x14ac:dyDescent="0.4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4.25" x14ac:dyDescent="0.4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4.25" x14ac:dyDescent="0.4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4.25" x14ac:dyDescent="0.4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4.25" x14ac:dyDescent="0.4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4.25" x14ac:dyDescent="0.4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4.25" x14ac:dyDescent="0.4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4.25" x14ac:dyDescent="0.4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4.25" x14ac:dyDescent="0.4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4.25" x14ac:dyDescent="0.4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4.25" x14ac:dyDescent="0.4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4.25" x14ac:dyDescent="0.4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4.25" x14ac:dyDescent="0.4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4.25" x14ac:dyDescent="0.4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4.25" x14ac:dyDescent="0.4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4.25" x14ac:dyDescent="0.4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4.25" x14ac:dyDescent="0.4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4.25" x14ac:dyDescent="0.4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4.25" x14ac:dyDescent="0.4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4.25" x14ac:dyDescent="0.4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4.25" x14ac:dyDescent="0.4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4.25" x14ac:dyDescent="0.4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4.25" x14ac:dyDescent="0.4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4.25" x14ac:dyDescent="0.4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4.25" x14ac:dyDescent="0.4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4.25" x14ac:dyDescent="0.4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4.25" x14ac:dyDescent="0.4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4.25" x14ac:dyDescent="0.4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4.25" x14ac:dyDescent="0.4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4.25" x14ac:dyDescent="0.4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4.25" x14ac:dyDescent="0.4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4.25" x14ac:dyDescent="0.4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4.25" x14ac:dyDescent="0.4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4.25" x14ac:dyDescent="0.4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4.25" x14ac:dyDescent="0.4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4.25" x14ac:dyDescent="0.4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4.25" x14ac:dyDescent="0.4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4.25" x14ac:dyDescent="0.4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4.25" x14ac:dyDescent="0.4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4.25" x14ac:dyDescent="0.4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4.25" x14ac:dyDescent="0.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4.25" x14ac:dyDescent="0.4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4.25" x14ac:dyDescent="0.4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4.25" x14ac:dyDescent="0.4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4.25" x14ac:dyDescent="0.4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4.25" x14ac:dyDescent="0.4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4.25" x14ac:dyDescent="0.4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4.25" x14ac:dyDescent="0.4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4.25" x14ac:dyDescent="0.4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4.25" x14ac:dyDescent="0.4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4.25" x14ac:dyDescent="0.4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4.25" x14ac:dyDescent="0.4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4.25" x14ac:dyDescent="0.4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4.25" x14ac:dyDescent="0.4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4.25" x14ac:dyDescent="0.4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4.25" x14ac:dyDescent="0.4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4.25" x14ac:dyDescent="0.4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4.25" x14ac:dyDescent="0.4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4.25" x14ac:dyDescent="0.4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4.25" x14ac:dyDescent="0.4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4.25" x14ac:dyDescent="0.4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4.25" x14ac:dyDescent="0.4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4.25" x14ac:dyDescent="0.4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4.25" x14ac:dyDescent="0.4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4.25" x14ac:dyDescent="0.4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4.25" x14ac:dyDescent="0.4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4.25" x14ac:dyDescent="0.4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4.25" x14ac:dyDescent="0.4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4.25" x14ac:dyDescent="0.4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4.25" x14ac:dyDescent="0.4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4.25" x14ac:dyDescent="0.4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4.25" x14ac:dyDescent="0.4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4.25" x14ac:dyDescent="0.4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4.25" x14ac:dyDescent="0.4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4.25" x14ac:dyDescent="0.4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4.25" x14ac:dyDescent="0.4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4.25" x14ac:dyDescent="0.4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4.25" x14ac:dyDescent="0.4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4.25" x14ac:dyDescent="0.4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4.25" x14ac:dyDescent="0.4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4.25" x14ac:dyDescent="0.4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4.25" x14ac:dyDescent="0.4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4.25" x14ac:dyDescent="0.4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4.25" x14ac:dyDescent="0.4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4.25" x14ac:dyDescent="0.4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4.25" x14ac:dyDescent="0.4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4.25" x14ac:dyDescent="0.4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4.25" x14ac:dyDescent="0.4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4.25" x14ac:dyDescent="0.45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4.25" x14ac:dyDescent="0.45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4.25" x14ac:dyDescent="0.4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4.25" x14ac:dyDescent="0.45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4.25" x14ac:dyDescent="0.45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4.25" x14ac:dyDescent="0.45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4.25" x14ac:dyDescent="0.45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4.25" x14ac:dyDescent="0.45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4.25" x14ac:dyDescent="0.45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4.25" x14ac:dyDescent="0.45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4.25" x14ac:dyDescent="0.45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4.25" x14ac:dyDescent="0.45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4.25" x14ac:dyDescent="0.4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4.25" x14ac:dyDescent="0.45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4.25" x14ac:dyDescent="0.45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4.25" x14ac:dyDescent="0.45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4.25" x14ac:dyDescent="0.45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4.25" x14ac:dyDescent="0.45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4.25" x14ac:dyDescent="0.45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4.25" x14ac:dyDescent="0.45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4.25" x14ac:dyDescent="0.45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4.25" x14ac:dyDescent="0.45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4.25" x14ac:dyDescent="0.4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4.25" x14ac:dyDescent="0.45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4.25" x14ac:dyDescent="0.45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4.25" x14ac:dyDescent="0.45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4.25" x14ac:dyDescent="0.45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4.25" x14ac:dyDescent="0.45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4.25" x14ac:dyDescent="0.45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4.25" x14ac:dyDescent="0.45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4.25" x14ac:dyDescent="0.45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4.25" x14ac:dyDescent="0.45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4.25" x14ac:dyDescent="0.4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4.25" x14ac:dyDescent="0.45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4.25" x14ac:dyDescent="0.45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4.25" x14ac:dyDescent="0.45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4.25" x14ac:dyDescent="0.45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4.25" x14ac:dyDescent="0.45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4.25" x14ac:dyDescent="0.45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4.25" x14ac:dyDescent="0.45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4.25" x14ac:dyDescent="0.45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4.25" x14ac:dyDescent="0.45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4.25" x14ac:dyDescent="0.4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4.25" x14ac:dyDescent="0.45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4.25" x14ac:dyDescent="0.45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4.25" x14ac:dyDescent="0.45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4.25" x14ac:dyDescent="0.45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4.25" x14ac:dyDescent="0.45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4.25" x14ac:dyDescent="0.45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4.25" x14ac:dyDescent="0.45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4.25" x14ac:dyDescent="0.45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4.25" x14ac:dyDescent="0.45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4.25" x14ac:dyDescent="0.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4.25" x14ac:dyDescent="0.45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4.25" x14ac:dyDescent="0.45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4.25" x14ac:dyDescent="0.45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4.25" x14ac:dyDescent="0.45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4.25" x14ac:dyDescent="0.45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4.25" x14ac:dyDescent="0.45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4.25" x14ac:dyDescent="0.45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4.25" x14ac:dyDescent="0.45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4.25" x14ac:dyDescent="0.45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4.25" x14ac:dyDescent="0.4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4.25" x14ac:dyDescent="0.45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4.25" x14ac:dyDescent="0.45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4.25" x14ac:dyDescent="0.45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4.25" x14ac:dyDescent="0.45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4.25" x14ac:dyDescent="0.45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4.25" x14ac:dyDescent="0.45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4.25" x14ac:dyDescent="0.45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4.25" x14ac:dyDescent="0.45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4.25" x14ac:dyDescent="0.45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4.25" x14ac:dyDescent="0.4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4.25" x14ac:dyDescent="0.45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4.25" x14ac:dyDescent="0.45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4.25" x14ac:dyDescent="0.45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4.25" x14ac:dyDescent="0.45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4.25" x14ac:dyDescent="0.45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4.25" x14ac:dyDescent="0.45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4.25" x14ac:dyDescent="0.45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4.25" x14ac:dyDescent="0.45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4.25" x14ac:dyDescent="0.45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4.25" x14ac:dyDescent="0.4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4.25" x14ac:dyDescent="0.45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4.25" x14ac:dyDescent="0.45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4.25" x14ac:dyDescent="0.45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4.25" x14ac:dyDescent="0.45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4.25" x14ac:dyDescent="0.45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4.25" x14ac:dyDescent="0.45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4.25" x14ac:dyDescent="0.45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4.25" x14ac:dyDescent="0.45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4.25" x14ac:dyDescent="0.45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4.25" x14ac:dyDescent="0.4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4.25" x14ac:dyDescent="0.45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4.25" x14ac:dyDescent="0.45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4.25" x14ac:dyDescent="0.45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4.25" x14ac:dyDescent="0.45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4.25" x14ac:dyDescent="0.45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4.25" x14ac:dyDescent="0.45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4.25" x14ac:dyDescent="0.45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4.25" x14ac:dyDescent="0.45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4.25" x14ac:dyDescent="0.45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4.25" x14ac:dyDescent="0.4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4.25" x14ac:dyDescent="0.45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4.25" x14ac:dyDescent="0.45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4.25" x14ac:dyDescent="0.45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4.25" x14ac:dyDescent="0.45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4.25" x14ac:dyDescent="0.45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4.25" x14ac:dyDescent="0.45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4.25" x14ac:dyDescent="0.45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4.25" x14ac:dyDescent="0.45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4.25" x14ac:dyDescent="0.45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4.25" x14ac:dyDescent="0.4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4.25" x14ac:dyDescent="0.45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4.25" x14ac:dyDescent="0.45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4.25" x14ac:dyDescent="0.45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4.25" x14ac:dyDescent="0.45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4.25" x14ac:dyDescent="0.45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4.25" x14ac:dyDescent="0.45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4.25" x14ac:dyDescent="0.45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4.25" x14ac:dyDescent="0.45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4.25" x14ac:dyDescent="0.45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4.25" x14ac:dyDescent="0.4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4.25" x14ac:dyDescent="0.45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4.25" x14ac:dyDescent="0.45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4.25" x14ac:dyDescent="0.45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4.25" x14ac:dyDescent="0.45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4.25" x14ac:dyDescent="0.45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4.25" x14ac:dyDescent="0.45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4.25" x14ac:dyDescent="0.45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4.25" x14ac:dyDescent="0.45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4.25" x14ac:dyDescent="0.45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4.25" x14ac:dyDescent="0.4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4.25" x14ac:dyDescent="0.45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4.25" x14ac:dyDescent="0.45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4.25" x14ac:dyDescent="0.45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4.25" x14ac:dyDescent="0.45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4.25" x14ac:dyDescent="0.45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4.25" x14ac:dyDescent="0.45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4.25" x14ac:dyDescent="0.45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4.25" x14ac:dyDescent="0.45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4.25" x14ac:dyDescent="0.45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4.25" x14ac:dyDescent="0.4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4.25" x14ac:dyDescent="0.45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4.25" x14ac:dyDescent="0.45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4.25" x14ac:dyDescent="0.45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4.25" x14ac:dyDescent="0.45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4.25" x14ac:dyDescent="0.45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4.25" x14ac:dyDescent="0.45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4.25" x14ac:dyDescent="0.45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4.25" x14ac:dyDescent="0.45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4.25" x14ac:dyDescent="0.45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4.25" x14ac:dyDescent="0.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4.25" x14ac:dyDescent="0.45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4.25" x14ac:dyDescent="0.45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4.25" x14ac:dyDescent="0.45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4.25" x14ac:dyDescent="0.45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4.25" x14ac:dyDescent="0.45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4.25" x14ac:dyDescent="0.45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4.25" x14ac:dyDescent="0.45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4.25" x14ac:dyDescent="0.45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4.25" x14ac:dyDescent="0.45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4.25" x14ac:dyDescent="0.4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4.25" x14ac:dyDescent="0.45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4.25" x14ac:dyDescent="0.45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4.25" x14ac:dyDescent="0.45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4.25" x14ac:dyDescent="0.45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4.25" x14ac:dyDescent="0.45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4.25" x14ac:dyDescent="0.45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4.25" x14ac:dyDescent="0.45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4.25" x14ac:dyDescent="0.45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4.25" x14ac:dyDescent="0.45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4.25" x14ac:dyDescent="0.4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4.25" x14ac:dyDescent="0.45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4.25" x14ac:dyDescent="0.45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4.25" x14ac:dyDescent="0.45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4.25" x14ac:dyDescent="0.45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4.25" x14ac:dyDescent="0.45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4.25" x14ac:dyDescent="0.45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4.25" x14ac:dyDescent="0.45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4.25" x14ac:dyDescent="0.45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4.25" x14ac:dyDescent="0.45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4.25" x14ac:dyDescent="0.4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4.25" x14ac:dyDescent="0.45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4.25" x14ac:dyDescent="0.45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4.25" x14ac:dyDescent="0.45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4.25" x14ac:dyDescent="0.45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4.25" x14ac:dyDescent="0.45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4.25" x14ac:dyDescent="0.45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4.25" x14ac:dyDescent="0.45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4.25" x14ac:dyDescent="0.45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4.25" x14ac:dyDescent="0.45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4.25" x14ac:dyDescent="0.4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4.25" x14ac:dyDescent="0.45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4.25" x14ac:dyDescent="0.45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4.25" x14ac:dyDescent="0.45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4.25" x14ac:dyDescent="0.45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4.25" x14ac:dyDescent="0.45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4.25" x14ac:dyDescent="0.45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4.25" x14ac:dyDescent="0.45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4.25" x14ac:dyDescent="0.45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4.25" x14ac:dyDescent="0.45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4.25" x14ac:dyDescent="0.4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4.25" x14ac:dyDescent="0.45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4.25" x14ac:dyDescent="0.45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4.25" x14ac:dyDescent="0.45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4.25" x14ac:dyDescent="0.45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4.25" x14ac:dyDescent="0.45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22" sqref="E22"/>
    </sheetView>
  </sheetViews>
  <sheetFormatPr defaultColWidth="12.59765625" defaultRowHeight="15.75" customHeight="1" x14ac:dyDescent="0.35"/>
  <sheetData>
    <row r="1" spans="1:26" ht="15.75" customHeight="1" x14ac:dyDescent="0.45">
      <c r="A1" s="1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 x14ac:dyDescent="0.4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 x14ac:dyDescent="0.45">
      <c r="A3" s="7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 x14ac:dyDescent="0.45">
      <c r="A4" s="14"/>
      <c r="B4" s="1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 x14ac:dyDescent="0.45">
      <c r="A5" s="18" t="s">
        <v>6</v>
      </c>
      <c r="B5" s="19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 x14ac:dyDescent="0.45">
      <c r="A6" s="20" t="s">
        <v>8</v>
      </c>
      <c r="B6" s="21" t="b">
        <f>ISBLANK(A6)</f>
        <v>0</v>
      </c>
      <c r="C6" s="8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 x14ac:dyDescent="0.45">
      <c r="A7" s="20"/>
      <c r="B7" s="21" t="b">
        <f>ISBLANK(A7)</f>
        <v>1</v>
      </c>
      <c r="C7" s="8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 x14ac:dyDescent="0.4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 x14ac:dyDescent="0.45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 x14ac:dyDescent="0.4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 x14ac:dyDescent="0.4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 x14ac:dyDescent="0.4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 x14ac:dyDescent="0.45">
      <c r="A13" s="7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 x14ac:dyDescent="0.45">
      <c r="A14" s="14"/>
      <c r="B14" s="1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 x14ac:dyDescent="0.45">
      <c r="A15" s="18" t="s">
        <v>6</v>
      </c>
      <c r="B15" s="19" t="s">
        <v>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 x14ac:dyDescent="0.45">
      <c r="A16" s="20"/>
      <c r="B16" s="22" t="str">
        <f>IF(ISBLANK(A16),"NO-DATA","CELL IS OK")</f>
        <v>NO-DATA</v>
      </c>
      <c r="C16" s="8" t="s">
        <v>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 x14ac:dyDescent="0.45">
      <c r="A17" s="20" t="s">
        <v>10</v>
      </c>
      <c r="B17" s="22" t="str">
        <f>IF(ISBLANK(A17),"NO-DATA","CELL IS OK")</f>
        <v>CELL IS OK</v>
      </c>
      <c r="C17" s="8" t="s">
        <v>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 x14ac:dyDescent="0.4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 x14ac:dyDescent="0.4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 x14ac:dyDescent="0.4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 x14ac:dyDescent="0.4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 x14ac:dyDescent="0.4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 x14ac:dyDescent="0.4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 x14ac:dyDescent="0.4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 x14ac:dyDescent="0.4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 x14ac:dyDescent="0.4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5.75" customHeight="1" x14ac:dyDescent="0.4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25" x14ac:dyDescent="0.4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25" x14ac:dyDescent="0.4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25" x14ac:dyDescent="0.4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25" x14ac:dyDescent="0.4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25" x14ac:dyDescent="0.4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25" x14ac:dyDescent="0.4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25" x14ac:dyDescent="0.4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25" x14ac:dyDescent="0.4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25" x14ac:dyDescent="0.4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25" x14ac:dyDescent="0.4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25" x14ac:dyDescent="0.4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25" x14ac:dyDescent="0.4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25" x14ac:dyDescent="0.4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25" x14ac:dyDescent="0.4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25" x14ac:dyDescent="0.4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25" x14ac:dyDescent="0.4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25" x14ac:dyDescent="0.4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25" x14ac:dyDescent="0.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25" x14ac:dyDescent="0.4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25" x14ac:dyDescent="0.4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25" x14ac:dyDescent="0.4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25" x14ac:dyDescent="0.4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25" x14ac:dyDescent="0.4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25" x14ac:dyDescent="0.4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25" x14ac:dyDescent="0.4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25" x14ac:dyDescent="0.4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25" x14ac:dyDescent="0.4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25" x14ac:dyDescent="0.4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25" x14ac:dyDescent="0.4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25" x14ac:dyDescent="0.4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25" x14ac:dyDescent="0.4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25" x14ac:dyDescent="0.4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25" x14ac:dyDescent="0.4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25" x14ac:dyDescent="0.4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25" x14ac:dyDescent="0.4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25" x14ac:dyDescent="0.4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25" x14ac:dyDescent="0.4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25" x14ac:dyDescent="0.4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25" x14ac:dyDescent="0.4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25" x14ac:dyDescent="0.4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25" x14ac:dyDescent="0.4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25" x14ac:dyDescent="0.4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25" x14ac:dyDescent="0.4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25" x14ac:dyDescent="0.4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25" x14ac:dyDescent="0.4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25" x14ac:dyDescent="0.4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25" x14ac:dyDescent="0.4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25" x14ac:dyDescent="0.4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25" x14ac:dyDescent="0.4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25" x14ac:dyDescent="0.4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25" x14ac:dyDescent="0.4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25" x14ac:dyDescent="0.4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25" x14ac:dyDescent="0.4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25" x14ac:dyDescent="0.4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25" x14ac:dyDescent="0.4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25" x14ac:dyDescent="0.4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25" x14ac:dyDescent="0.4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25" x14ac:dyDescent="0.4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25" x14ac:dyDescent="0.4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25" x14ac:dyDescent="0.4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25" x14ac:dyDescent="0.4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25" x14ac:dyDescent="0.4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25" x14ac:dyDescent="0.4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25" x14ac:dyDescent="0.4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25" x14ac:dyDescent="0.4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25" x14ac:dyDescent="0.4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25" x14ac:dyDescent="0.4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25" x14ac:dyDescent="0.4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25" x14ac:dyDescent="0.4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25" x14ac:dyDescent="0.4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25" x14ac:dyDescent="0.4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25" x14ac:dyDescent="0.4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25" x14ac:dyDescent="0.4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25" x14ac:dyDescent="0.4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25" x14ac:dyDescent="0.4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25" x14ac:dyDescent="0.4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25" x14ac:dyDescent="0.4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25" x14ac:dyDescent="0.4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25" x14ac:dyDescent="0.4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25" x14ac:dyDescent="0.4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25" x14ac:dyDescent="0.4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25" x14ac:dyDescent="0.4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25" x14ac:dyDescent="0.4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25" x14ac:dyDescent="0.4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25" x14ac:dyDescent="0.4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25" x14ac:dyDescent="0.4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25" x14ac:dyDescent="0.4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25" x14ac:dyDescent="0.4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25" x14ac:dyDescent="0.4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25" x14ac:dyDescent="0.4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25" x14ac:dyDescent="0.4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25" x14ac:dyDescent="0.4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25" x14ac:dyDescent="0.4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25" x14ac:dyDescent="0.4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25" x14ac:dyDescent="0.4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25" x14ac:dyDescent="0.4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25" x14ac:dyDescent="0.4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25" x14ac:dyDescent="0.4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25" x14ac:dyDescent="0.4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25" x14ac:dyDescent="0.4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25" x14ac:dyDescent="0.4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25" x14ac:dyDescent="0.4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25" x14ac:dyDescent="0.4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25" x14ac:dyDescent="0.4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25" x14ac:dyDescent="0.4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25" x14ac:dyDescent="0.4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25" x14ac:dyDescent="0.4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25" x14ac:dyDescent="0.4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25" x14ac:dyDescent="0.4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25" x14ac:dyDescent="0.4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25" x14ac:dyDescent="0.4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25" x14ac:dyDescent="0.4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25" x14ac:dyDescent="0.4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25" x14ac:dyDescent="0.4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25" x14ac:dyDescent="0.4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25" x14ac:dyDescent="0.4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25" x14ac:dyDescent="0.4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25" x14ac:dyDescent="0.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25" x14ac:dyDescent="0.4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25" x14ac:dyDescent="0.4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25" x14ac:dyDescent="0.4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25" x14ac:dyDescent="0.4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25" x14ac:dyDescent="0.4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25" x14ac:dyDescent="0.4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25" x14ac:dyDescent="0.4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25" x14ac:dyDescent="0.4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25" x14ac:dyDescent="0.4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25" x14ac:dyDescent="0.4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25" x14ac:dyDescent="0.4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25" x14ac:dyDescent="0.4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25" x14ac:dyDescent="0.4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25" x14ac:dyDescent="0.4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25" x14ac:dyDescent="0.4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25" x14ac:dyDescent="0.4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25" x14ac:dyDescent="0.4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25" x14ac:dyDescent="0.4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25" x14ac:dyDescent="0.4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25" x14ac:dyDescent="0.4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25" x14ac:dyDescent="0.4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25" x14ac:dyDescent="0.4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25" x14ac:dyDescent="0.4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25" x14ac:dyDescent="0.4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25" x14ac:dyDescent="0.4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25" x14ac:dyDescent="0.4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25" x14ac:dyDescent="0.4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25" x14ac:dyDescent="0.4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25" x14ac:dyDescent="0.4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25" x14ac:dyDescent="0.4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25" x14ac:dyDescent="0.4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25" x14ac:dyDescent="0.4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25" x14ac:dyDescent="0.4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25" x14ac:dyDescent="0.4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25" x14ac:dyDescent="0.4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25" x14ac:dyDescent="0.4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25" x14ac:dyDescent="0.4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25" x14ac:dyDescent="0.4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25" x14ac:dyDescent="0.4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25" x14ac:dyDescent="0.4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25" x14ac:dyDescent="0.4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25" x14ac:dyDescent="0.4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25" x14ac:dyDescent="0.4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25" x14ac:dyDescent="0.4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25" x14ac:dyDescent="0.4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25" x14ac:dyDescent="0.4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25" x14ac:dyDescent="0.4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25" x14ac:dyDescent="0.4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25" x14ac:dyDescent="0.4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25" x14ac:dyDescent="0.4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25" x14ac:dyDescent="0.4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25" x14ac:dyDescent="0.4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25" x14ac:dyDescent="0.4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25" x14ac:dyDescent="0.4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25" x14ac:dyDescent="0.4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25" x14ac:dyDescent="0.4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4.25" x14ac:dyDescent="0.45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4.25" x14ac:dyDescent="0.4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4.25" x14ac:dyDescent="0.45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4.25" x14ac:dyDescent="0.4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4.25" x14ac:dyDescent="0.45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4.25" x14ac:dyDescent="0.4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4.25" x14ac:dyDescent="0.4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4.25" x14ac:dyDescent="0.4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4.25" x14ac:dyDescent="0.4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4.25" x14ac:dyDescent="0.4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4.25" x14ac:dyDescent="0.4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4.25" x14ac:dyDescent="0.4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4.25" x14ac:dyDescent="0.4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4.25" x14ac:dyDescent="0.4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4.25" x14ac:dyDescent="0.45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4.25" x14ac:dyDescent="0.45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4.25" x14ac:dyDescent="0.45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4.25" x14ac:dyDescent="0.4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4.25" x14ac:dyDescent="0.4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4.25" x14ac:dyDescent="0.4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4.25" x14ac:dyDescent="0.4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4.25" x14ac:dyDescent="0.45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4.25" x14ac:dyDescent="0.45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4.25" x14ac:dyDescent="0.4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4.25" x14ac:dyDescent="0.45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4.25" x14ac:dyDescent="0.45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4.25" x14ac:dyDescent="0.45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4.25" x14ac:dyDescent="0.45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4.25" x14ac:dyDescent="0.45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4.25" x14ac:dyDescent="0.4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4.25" x14ac:dyDescent="0.45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4.25" x14ac:dyDescent="0.45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4.25" x14ac:dyDescent="0.45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4.25" x14ac:dyDescent="0.4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4.25" x14ac:dyDescent="0.45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4.25" x14ac:dyDescent="0.45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4.25" x14ac:dyDescent="0.45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4.25" x14ac:dyDescent="0.45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4.25" x14ac:dyDescent="0.45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4.25" x14ac:dyDescent="0.45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4.25" x14ac:dyDescent="0.4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4.25" x14ac:dyDescent="0.45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4.25" x14ac:dyDescent="0.45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4.25" x14ac:dyDescent="0.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4.25" x14ac:dyDescent="0.45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4.25" x14ac:dyDescent="0.45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4.25" x14ac:dyDescent="0.45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4.25" x14ac:dyDescent="0.45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4.25" x14ac:dyDescent="0.45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4.25" x14ac:dyDescent="0.4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4.25" x14ac:dyDescent="0.45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4.25" x14ac:dyDescent="0.45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4.25" x14ac:dyDescent="0.4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4.25" x14ac:dyDescent="0.4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4.25" x14ac:dyDescent="0.45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4.25" x14ac:dyDescent="0.45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4.25" x14ac:dyDescent="0.45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4.25" x14ac:dyDescent="0.45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4.25" x14ac:dyDescent="0.45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4.25" x14ac:dyDescent="0.4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4.25" x14ac:dyDescent="0.4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4.25" x14ac:dyDescent="0.45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4.25" x14ac:dyDescent="0.4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4.25" x14ac:dyDescent="0.4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4.25" x14ac:dyDescent="0.45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4.25" x14ac:dyDescent="0.4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4.25" x14ac:dyDescent="0.45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4.25" x14ac:dyDescent="0.45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4.25" x14ac:dyDescent="0.45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4.25" x14ac:dyDescent="0.45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4.25" x14ac:dyDescent="0.45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4.25" x14ac:dyDescent="0.4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4.25" x14ac:dyDescent="0.45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4.25" x14ac:dyDescent="0.4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4.25" x14ac:dyDescent="0.4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4.25" x14ac:dyDescent="0.4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4.25" x14ac:dyDescent="0.45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4.25" x14ac:dyDescent="0.45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4.25" x14ac:dyDescent="0.4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4.25" x14ac:dyDescent="0.4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4.25" x14ac:dyDescent="0.4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4.25" x14ac:dyDescent="0.4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4.25" x14ac:dyDescent="0.4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4.25" x14ac:dyDescent="0.4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4.25" x14ac:dyDescent="0.4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4.25" x14ac:dyDescent="0.4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4.25" x14ac:dyDescent="0.4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4.25" x14ac:dyDescent="0.4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4.25" x14ac:dyDescent="0.4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4.25" x14ac:dyDescent="0.4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4.25" x14ac:dyDescent="0.4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4.25" x14ac:dyDescent="0.4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4.25" x14ac:dyDescent="0.45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4.25" x14ac:dyDescent="0.4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4.25" x14ac:dyDescent="0.4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4.25" x14ac:dyDescent="0.4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4.25" x14ac:dyDescent="0.4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4.25" x14ac:dyDescent="0.4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4.25" x14ac:dyDescent="0.4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4.25" x14ac:dyDescent="0.4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4.25" x14ac:dyDescent="0.4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4.25" x14ac:dyDescent="0.4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4.25" x14ac:dyDescent="0.4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4.25" x14ac:dyDescent="0.4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4.25" x14ac:dyDescent="0.4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4.25" x14ac:dyDescent="0.45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4.25" x14ac:dyDescent="0.4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4.25" x14ac:dyDescent="0.4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4.25" x14ac:dyDescent="0.4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4.25" x14ac:dyDescent="0.4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4.25" x14ac:dyDescent="0.4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4.25" x14ac:dyDescent="0.4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4.25" x14ac:dyDescent="0.4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4.25" x14ac:dyDescent="0.4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4.25" x14ac:dyDescent="0.4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4.25" x14ac:dyDescent="0.4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4.25" x14ac:dyDescent="0.4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4.25" x14ac:dyDescent="0.4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4.25" x14ac:dyDescent="0.4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4.25" x14ac:dyDescent="0.4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4.25" x14ac:dyDescent="0.4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4.25" x14ac:dyDescent="0.4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4.25" x14ac:dyDescent="0.4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4.25" x14ac:dyDescent="0.4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4.25" x14ac:dyDescent="0.4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4.25" x14ac:dyDescent="0.4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4.25" x14ac:dyDescent="0.4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4.25" x14ac:dyDescent="0.4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4.25" x14ac:dyDescent="0.4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4.25" x14ac:dyDescent="0.4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4.25" x14ac:dyDescent="0.4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4.25" x14ac:dyDescent="0.4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4.25" x14ac:dyDescent="0.4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4.25" x14ac:dyDescent="0.4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4.25" x14ac:dyDescent="0.4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4.25" x14ac:dyDescent="0.4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4.25" x14ac:dyDescent="0.4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4.25" x14ac:dyDescent="0.4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4.25" x14ac:dyDescent="0.4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4.25" x14ac:dyDescent="0.4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4.25" x14ac:dyDescent="0.4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4.25" x14ac:dyDescent="0.4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4.25" x14ac:dyDescent="0.4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4.25" x14ac:dyDescent="0.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4.25" x14ac:dyDescent="0.4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4.25" x14ac:dyDescent="0.4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4.25" x14ac:dyDescent="0.4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4.25" x14ac:dyDescent="0.4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4.25" x14ac:dyDescent="0.4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4.25" x14ac:dyDescent="0.4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4.25" x14ac:dyDescent="0.4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4.25" x14ac:dyDescent="0.4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4.25" x14ac:dyDescent="0.4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4.25" x14ac:dyDescent="0.4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4.25" x14ac:dyDescent="0.4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4.25" x14ac:dyDescent="0.45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4.25" x14ac:dyDescent="0.45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4.25" x14ac:dyDescent="0.45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4.25" x14ac:dyDescent="0.45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4.25" x14ac:dyDescent="0.45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4.25" x14ac:dyDescent="0.4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4.25" x14ac:dyDescent="0.45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4.25" x14ac:dyDescent="0.4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4.25" x14ac:dyDescent="0.4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4.25" x14ac:dyDescent="0.4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4.25" x14ac:dyDescent="0.4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4.25" x14ac:dyDescent="0.4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4.25" x14ac:dyDescent="0.4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4.25" x14ac:dyDescent="0.4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4.25" x14ac:dyDescent="0.4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4.25" x14ac:dyDescent="0.4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4.25" x14ac:dyDescent="0.4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4.25" x14ac:dyDescent="0.4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4.25" x14ac:dyDescent="0.4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4.25" x14ac:dyDescent="0.4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4.25" x14ac:dyDescent="0.4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4.25" x14ac:dyDescent="0.4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4.25" x14ac:dyDescent="0.4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4.25" x14ac:dyDescent="0.4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4.25" x14ac:dyDescent="0.4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4.25" x14ac:dyDescent="0.4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4.25" x14ac:dyDescent="0.4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4.25" x14ac:dyDescent="0.4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4.25" x14ac:dyDescent="0.4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4.25" x14ac:dyDescent="0.45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4.25" x14ac:dyDescent="0.45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4.25" x14ac:dyDescent="0.4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4.25" x14ac:dyDescent="0.45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4.25" x14ac:dyDescent="0.4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4.25" x14ac:dyDescent="0.4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4.25" x14ac:dyDescent="0.45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4.25" x14ac:dyDescent="0.4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4.25" x14ac:dyDescent="0.4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4.25" x14ac:dyDescent="0.4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4.25" x14ac:dyDescent="0.45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4.25" x14ac:dyDescent="0.45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4.25" x14ac:dyDescent="0.4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4.25" x14ac:dyDescent="0.4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4.25" x14ac:dyDescent="0.4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4.25" x14ac:dyDescent="0.4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4.25" x14ac:dyDescent="0.45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4.25" x14ac:dyDescent="0.4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4.25" x14ac:dyDescent="0.45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4.25" x14ac:dyDescent="0.4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4.25" x14ac:dyDescent="0.4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4.25" x14ac:dyDescent="0.45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4.25" x14ac:dyDescent="0.4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4.25" x14ac:dyDescent="0.4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4.25" x14ac:dyDescent="0.4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4.25" x14ac:dyDescent="0.4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4.25" x14ac:dyDescent="0.4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4.25" x14ac:dyDescent="0.4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4.25" x14ac:dyDescent="0.45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4.25" x14ac:dyDescent="0.4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4.25" x14ac:dyDescent="0.4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4.25" x14ac:dyDescent="0.4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4.25" x14ac:dyDescent="0.45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4.25" x14ac:dyDescent="0.4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4.25" x14ac:dyDescent="0.4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4.25" x14ac:dyDescent="0.4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4.25" x14ac:dyDescent="0.45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4.25" x14ac:dyDescent="0.4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4.25" x14ac:dyDescent="0.4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4.25" x14ac:dyDescent="0.4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4.25" x14ac:dyDescent="0.4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4.25" x14ac:dyDescent="0.4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4.25" x14ac:dyDescent="0.4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4.25" x14ac:dyDescent="0.4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4.25" x14ac:dyDescent="0.4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4.25" x14ac:dyDescent="0.4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4.25" x14ac:dyDescent="0.45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4.25" x14ac:dyDescent="0.4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4.25" x14ac:dyDescent="0.4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4.25" x14ac:dyDescent="0.4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4.25" x14ac:dyDescent="0.4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4.25" x14ac:dyDescent="0.4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4.25" x14ac:dyDescent="0.4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4.25" x14ac:dyDescent="0.4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4.25" x14ac:dyDescent="0.4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4.25" x14ac:dyDescent="0.45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4.25" x14ac:dyDescent="0.4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4.25" x14ac:dyDescent="0.4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4.25" x14ac:dyDescent="0.4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4.25" x14ac:dyDescent="0.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4.25" x14ac:dyDescent="0.45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4.25" x14ac:dyDescent="0.4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4.25" x14ac:dyDescent="0.4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4.25" x14ac:dyDescent="0.45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4.25" x14ac:dyDescent="0.4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4.25" x14ac:dyDescent="0.4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4.25" x14ac:dyDescent="0.4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4.25" x14ac:dyDescent="0.4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4.25" x14ac:dyDescent="0.4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4.25" x14ac:dyDescent="0.4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4.25" x14ac:dyDescent="0.45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4.25" x14ac:dyDescent="0.45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4.25" x14ac:dyDescent="0.4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4.25" x14ac:dyDescent="0.4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4.25" x14ac:dyDescent="0.45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4.25" x14ac:dyDescent="0.45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4.25" x14ac:dyDescent="0.45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4.25" x14ac:dyDescent="0.45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4.25" x14ac:dyDescent="0.45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4.25" x14ac:dyDescent="0.4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4.25" x14ac:dyDescent="0.45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4.25" x14ac:dyDescent="0.45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4.25" x14ac:dyDescent="0.45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4.25" x14ac:dyDescent="0.45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4.25" x14ac:dyDescent="0.45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4.25" x14ac:dyDescent="0.45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4.25" x14ac:dyDescent="0.45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4.25" x14ac:dyDescent="0.45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4.25" x14ac:dyDescent="0.45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4.25" x14ac:dyDescent="0.4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4.25" x14ac:dyDescent="0.45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4.25" x14ac:dyDescent="0.4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4.25" x14ac:dyDescent="0.4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4.25" x14ac:dyDescent="0.4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4.25" x14ac:dyDescent="0.4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4.25" x14ac:dyDescent="0.4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4.25" x14ac:dyDescent="0.4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4.25" x14ac:dyDescent="0.4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4.25" x14ac:dyDescent="0.4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4.25" x14ac:dyDescent="0.4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4.25" x14ac:dyDescent="0.4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4.25" x14ac:dyDescent="0.4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4.25" x14ac:dyDescent="0.4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4.25" x14ac:dyDescent="0.4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4.25" x14ac:dyDescent="0.4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4.25" x14ac:dyDescent="0.4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4.25" x14ac:dyDescent="0.4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4.25" x14ac:dyDescent="0.4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4.25" x14ac:dyDescent="0.4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4.25" x14ac:dyDescent="0.4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4.25" x14ac:dyDescent="0.4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4.25" x14ac:dyDescent="0.4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4.25" x14ac:dyDescent="0.4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4.25" x14ac:dyDescent="0.4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4.25" x14ac:dyDescent="0.4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4.25" x14ac:dyDescent="0.4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4.25" x14ac:dyDescent="0.4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4.25" x14ac:dyDescent="0.4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4.25" x14ac:dyDescent="0.4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4.25" x14ac:dyDescent="0.4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4.25" x14ac:dyDescent="0.4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4.25" x14ac:dyDescent="0.4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4.25" x14ac:dyDescent="0.4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4.25" x14ac:dyDescent="0.4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4.25" x14ac:dyDescent="0.4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4.25" x14ac:dyDescent="0.4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4.25" x14ac:dyDescent="0.4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4.25" x14ac:dyDescent="0.4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4.25" x14ac:dyDescent="0.4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4.25" x14ac:dyDescent="0.4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4.25" x14ac:dyDescent="0.4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4.25" x14ac:dyDescent="0.4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4.25" x14ac:dyDescent="0.4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4.25" x14ac:dyDescent="0.4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4.25" x14ac:dyDescent="0.4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4.25" x14ac:dyDescent="0.4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4.25" x14ac:dyDescent="0.4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4.25" x14ac:dyDescent="0.4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4.25" x14ac:dyDescent="0.4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4.25" x14ac:dyDescent="0.4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4.25" x14ac:dyDescent="0.4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4.25" x14ac:dyDescent="0.4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4.25" x14ac:dyDescent="0.4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4.25" x14ac:dyDescent="0.4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4.25" x14ac:dyDescent="0.4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4.25" x14ac:dyDescent="0.4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4.25" x14ac:dyDescent="0.4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4.25" x14ac:dyDescent="0.4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4.25" x14ac:dyDescent="0.4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4.25" x14ac:dyDescent="0.4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4.25" x14ac:dyDescent="0.4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4.25" x14ac:dyDescent="0.4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4.25" x14ac:dyDescent="0.4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4.25" x14ac:dyDescent="0.4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4.25" x14ac:dyDescent="0.4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4.25" x14ac:dyDescent="0.4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4.25" x14ac:dyDescent="0.4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4.25" x14ac:dyDescent="0.4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4.25" x14ac:dyDescent="0.4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4.25" x14ac:dyDescent="0.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4.25" x14ac:dyDescent="0.4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4.25" x14ac:dyDescent="0.4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4.25" x14ac:dyDescent="0.4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4.25" x14ac:dyDescent="0.4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4.25" x14ac:dyDescent="0.4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4.25" x14ac:dyDescent="0.4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4.25" x14ac:dyDescent="0.4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4.25" x14ac:dyDescent="0.4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4.25" x14ac:dyDescent="0.4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4.25" x14ac:dyDescent="0.4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4.25" x14ac:dyDescent="0.4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4.25" x14ac:dyDescent="0.4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4.25" x14ac:dyDescent="0.4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4.25" x14ac:dyDescent="0.4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4.25" x14ac:dyDescent="0.4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4.25" x14ac:dyDescent="0.4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4.25" x14ac:dyDescent="0.4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4.25" x14ac:dyDescent="0.4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4.25" x14ac:dyDescent="0.4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4.25" x14ac:dyDescent="0.4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4.25" x14ac:dyDescent="0.4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4.25" x14ac:dyDescent="0.4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4.25" x14ac:dyDescent="0.4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4.25" x14ac:dyDescent="0.4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4.25" x14ac:dyDescent="0.4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4.25" x14ac:dyDescent="0.4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4.25" x14ac:dyDescent="0.4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4.25" x14ac:dyDescent="0.4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4.25" x14ac:dyDescent="0.4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4.25" x14ac:dyDescent="0.4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4.25" x14ac:dyDescent="0.4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4.25" x14ac:dyDescent="0.4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4.25" x14ac:dyDescent="0.4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4.25" x14ac:dyDescent="0.4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4.25" x14ac:dyDescent="0.4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4.25" x14ac:dyDescent="0.4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4.25" x14ac:dyDescent="0.4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4.25" x14ac:dyDescent="0.4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4.25" x14ac:dyDescent="0.4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4.25" x14ac:dyDescent="0.4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4.25" x14ac:dyDescent="0.4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4.25" x14ac:dyDescent="0.4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4.25" x14ac:dyDescent="0.4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4.25" x14ac:dyDescent="0.4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4.25" x14ac:dyDescent="0.4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4.25" x14ac:dyDescent="0.4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4.25" x14ac:dyDescent="0.4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4.25" x14ac:dyDescent="0.4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4.25" x14ac:dyDescent="0.4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4.25" x14ac:dyDescent="0.4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4.25" x14ac:dyDescent="0.4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4.25" x14ac:dyDescent="0.4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4.25" x14ac:dyDescent="0.4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4.25" x14ac:dyDescent="0.4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4.25" x14ac:dyDescent="0.4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4.25" x14ac:dyDescent="0.4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4.25" x14ac:dyDescent="0.4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4.25" x14ac:dyDescent="0.4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4.25" x14ac:dyDescent="0.4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4.25" x14ac:dyDescent="0.4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4.25" x14ac:dyDescent="0.4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4.25" x14ac:dyDescent="0.4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4.25" x14ac:dyDescent="0.4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4.25" x14ac:dyDescent="0.4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4.25" x14ac:dyDescent="0.4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4.25" x14ac:dyDescent="0.4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4.25" x14ac:dyDescent="0.4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4.25" x14ac:dyDescent="0.4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4.25" x14ac:dyDescent="0.4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4.25" x14ac:dyDescent="0.4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4.25" x14ac:dyDescent="0.4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4.25" x14ac:dyDescent="0.4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4.25" x14ac:dyDescent="0.4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4.25" x14ac:dyDescent="0.4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4.25" x14ac:dyDescent="0.4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4.25" x14ac:dyDescent="0.4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4.25" x14ac:dyDescent="0.4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4.25" x14ac:dyDescent="0.4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4.25" x14ac:dyDescent="0.4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4.25" x14ac:dyDescent="0.4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4.25" x14ac:dyDescent="0.4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4.25" x14ac:dyDescent="0.4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4.25" x14ac:dyDescent="0.4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4.25" x14ac:dyDescent="0.4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4.25" x14ac:dyDescent="0.4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4.25" x14ac:dyDescent="0.4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4.25" x14ac:dyDescent="0.4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4.25" x14ac:dyDescent="0.4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4.25" x14ac:dyDescent="0.4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4.25" x14ac:dyDescent="0.4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4.25" x14ac:dyDescent="0.4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4.25" x14ac:dyDescent="0.4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4.25" x14ac:dyDescent="0.4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4.25" x14ac:dyDescent="0.4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4.25" x14ac:dyDescent="0.4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4.25" x14ac:dyDescent="0.4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4.25" x14ac:dyDescent="0.4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4.25" x14ac:dyDescent="0.4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4.25" x14ac:dyDescent="0.4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4.25" x14ac:dyDescent="0.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4.25" x14ac:dyDescent="0.4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4.25" x14ac:dyDescent="0.4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4.25" x14ac:dyDescent="0.4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4.25" x14ac:dyDescent="0.4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4.25" x14ac:dyDescent="0.4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4.25" x14ac:dyDescent="0.4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4.25" x14ac:dyDescent="0.4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4.25" x14ac:dyDescent="0.4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4.25" x14ac:dyDescent="0.4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4.25" x14ac:dyDescent="0.4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4.25" x14ac:dyDescent="0.4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4.25" x14ac:dyDescent="0.4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4.25" x14ac:dyDescent="0.4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4.25" x14ac:dyDescent="0.4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4.25" x14ac:dyDescent="0.4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4.25" x14ac:dyDescent="0.4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4.25" x14ac:dyDescent="0.4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4.25" x14ac:dyDescent="0.4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4.25" x14ac:dyDescent="0.4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4.25" x14ac:dyDescent="0.4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4.25" x14ac:dyDescent="0.4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4.25" x14ac:dyDescent="0.4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4.25" x14ac:dyDescent="0.4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4.25" x14ac:dyDescent="0.4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4.25" x14ac:dyDescent="0.4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4.25" x14ac:dyDescent="0.4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4.25" x14ac:dyDescent="0.4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4.25" x14ac:dyDescent="0.4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4.25" x14ac:dyDescent="0.4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4.25" x14ac:dyDescent="0.4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4.25" x14ac:dyDescent="0.4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4.25" x14ac:dyDescent="0.4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4.25" x14ac:dyDescent="0.4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4.25" x14ac:dyDescent="0.4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4.25" x14ac:dyDescent="0.4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4.25" x14ac:dyDescent="0.4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4.25" x14ac:dyDescent="0.4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4.25" x14ac:dyDescent="0.4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4.25" x14ac:dyDescent="0.4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4.25" x14ac:dyDescent="0.4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4.25" x14ac:dyDescent="0.4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4.25" x14ac:dyDescent="0.4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4.25" x14ac:dyDescent="0.4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4.25" x14ac:dyDescent="0.4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4.25" x14ac:dyDescent="0.4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4.25" x14ac:dyDescent="0.4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4.25" x14ac:dyDescent="0.4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4.25" x14ac:dyDescent="0.4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4.25" x14ac:dyDescent="0.4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4.25" x14ac:dyDescent="0.4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4.25" x14ac:dyDescent="0.4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4.25" x14ac:dyDescent="0.4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4.25" x14ac:dyDescent="0.4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4.25" x14ac:dyDescent="0.4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4.25" x14ac:dyDescent="0.4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4.25" x14ac:dyDescent="0.4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4.25" x14ac:dyDescent="0.4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4.25" x14ac:dyDescent="0.4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4.25" x14ac:dyDescent="0.4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4.25" x14ac:dyDescent="0.4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4.25" x14ac:dyDescent="0.4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4.25" x14ac:dyDescent="0.4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4.25" x14ac:dyDescent="0.4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4.25" x14ac:dyDescent="0.4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4.25" x14ac:dyDescent="0.4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4.25" x14ac:dyDescent="0.4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4.25" x14ac:dyDescent="0.4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4.25" x14ac:dyDescent="0.4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4.25" x14ac:dyDescent="0.4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4.25" x14ac:dyDescent="0.4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4.25" x14ac:dyDescent="0.4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4.25" x14ac:dyDescent="0.4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4.25" x14ac:dyDescent="0.4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4.25" x14ac:dyDescent="0.4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4.25" x14ac:dyDescent="0.4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4.25" x14ac:dyDescent="0.4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4.25" x14ac:dyDescent="0.4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4.25" x14ac:dyDescent="0.4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4.25" x14ac:dyDescent="0.4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4.25" x14ac:dyDescent="0.4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4.25" x14ac:dyDescent="0.4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4.25" x14ac:dyDescent="0.4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4.25" x14ac:dyDescent="0.4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4.25" x14ac:dyDescent="0.4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4.25" x14ac:dyDescent="0.4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4.25" x14ac:dyDescent="0.4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4.25" x14ac:dyDescent="0.4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4.25" x14ac:dyDescent="0.4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4.25" x14ac:dyDescent="0.4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4.25" x14ac:dyDescent="0.4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4.25" x14ac:dyDescent="0.4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4.25" x14ac:dyDescent="0.4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4.25" x14ac:dyDescent="0.4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4.25" x14ac:dyDescent="0.4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4.25" x14ac:dyDescent="0.4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4.25" x14ac:dyDescent="0.4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4.25" x14ac:dyDescent="0.4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4.25" x14ac:dyDescent="0.4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4.25" x14ac:dyDescent="0.4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4.25" x14ac:dyDescent="0.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4.25" x14ac:dyDescent="0.4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4.25" x14ac:dyDescent="0.4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4.25" x14ac:dyDescent="0.4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4.25" x14ac:dyDescent="0.4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4.25" x14ac:dyDescent="0.4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4.25" x14ac:dyDescent="0.4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4.25" x14ac:dyDescent="0.4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4.25" x14ac:dyDescent="0.4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4.25" x14ac:dyDescent="0.4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4.25" x14ac:dyDescent="0.4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4.25" x14ac:dyDescent="0.4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4.25" x14ac:dyDescent="0.4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4.25" x14ac:dyDescent="0.4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4.25" x14ac:dyDescent="0.4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4.25" x14ac:dyDescent="0.4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4.25" x14ac:dyDescent="0.4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4.25" x14ac:dyDescent="0.4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4.25" x14ac:dyDescent="0.4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4.25" x14ac:dyDescent="0.4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4.25" x14ac:dyDescent="0.4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4.25" x14ac:dyDescent="0.4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4.25" x14ac:dyDescent="0.4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4.25" x14ac:dyDescent="0.4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4.25" x14ac:dyDescent="0.4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4.25" x14ac:dyDescent="0.4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4.25" x14ac:dyDescent="0.4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4.25" x14ac:dyDescent="0.4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4.25" x14ac:dyDescent="0.4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4.25" x14ac:dyDescent="0.4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4.25" x14ac:dyDescent="0.4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4.25" x14ac:dyDescent="0.4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4.25" x14ac:dyDescent="0.4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4.25" x14ac:dyDescent="0.4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4.25" x14ac:dyDescent="0.4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4.25" x14ac:dyDescent="0.4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4.25" x14ac:dyDescent="0.4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4.25" x14ac:dyDescent="0.4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4.25" x14ac:dyDescent="0.4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4.25" x14ac:dyDescent="0.4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4.25" x14ac:dyDescent="0.4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4.25" x14ac:dyDescent="0.4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4.25" x14ac:dyDescent="0.4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4.25" x14ac:dyDescent="0.4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4.25" x14ac:dyDescent="0.4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4.25" x14ac:dyDescent="0.4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4.25" x14ac:dyDescent="0.4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4.25" x14ac:dyDescent="0.4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4.25" x14ac:dyDescent="0.45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4.25" x14ac:dyDescent="0.45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4.25" x14ac:dyDescent="0.4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4.25" x14ac:dyDescent="0.45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4.25" x14ac:dyDescent="0.45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4.25" x14ac:dyDescent="0.45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4.25" x14ac:dyDescent="0.45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4.25" x14ac:dyDescent="0.45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4.25" x14ac:dyDescent="0.45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4.25" x14ac:dyDescent="0.45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4.25" x14ac:dyDescent="0.45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4.25" x14ac:dyDescent="0.45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4.25" x14ac:dyDescent="0.4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4.25" x14ac:dyDescent="0.45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4.25" x14ac:dyDescent="0.45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4.25" x14ac:dyDescent="0.45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4.25" x14ac:dyDescent="0.45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4.25" x14ac:dyDescent="0.45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4.25" x14ac:dyDescent="0.45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4.25" x14ac:dyDescent="0.45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4.25" x14ac:dyDescent="0.45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4.25" x14ac:dyDescent="0.45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4.25" x14ac:dyDescent="0.4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4.25" x14ac:dyDescent="0.45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4.25" x14ac:dyDescent="0.45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4.25" x14ac:dyDescent="0.45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4.25" x14ac:dyDescent="0.45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4.25" x14ac:dyDescent="0.45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4.25" x14ac:dyDescent="0.45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4.25" x14ac:dyDescent="0.45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4.25" x14ac:dyDescent="0.45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4.25" x14ac:dyDescent="0.45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4.25" x14ac:dyDescent="0.4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4.25" x14ac:dyDescent="0.45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4.25" x14ac:dyDescent="0.45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4.25" x14ac:dyDescent="0.45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4.25" x14ac:dyDescent="0.45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4.25" x14ac:dyDescent="0.45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4.25" x14ac:dyDescent="0.45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4.25" x14ac:dyDescent="0.45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4.25" x14ac:dyDescent="0.45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4.25" x14ac:dyDescent="0.45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4.25" x14ac:dyDescent="0.4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4.25" x14ac:dyDescent="0.45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4.25" x14ac:dyDescent="0.45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4.25" x14ac:dyDescent="0.45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4.25" x14ac:dyDescent="0.45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4.25" x14ac:dyDescent="0.45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4.25" x14ac:dyDescent="0.45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4.25" x14ac:dyDescent="0.45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4.25" x14ac:dyDescent="0.45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4.25" x14ac:dyDescent="0.45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4.25" x14ac:dyDescent="0.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4.25" x14ac:dyDescent="0.45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4.25" x14ac:dyDescent="0.45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4.25" x14ac:dyDescent="0.45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4.25" x14ac:dyDescent="0.45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4.25" x14ac:dyDescent="0.45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4.25" x14ac:dyDescent="0.45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4.25" x14ac:dyDescent="0.45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4.25" x14ac:dyDescent="0.45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4.25" x14ac:dyDescent="0.45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4.25" x14ac:dyDescent="0.4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4.25" x14ac:dyDescent="0.45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4.25" x14ac:dyDescent="0.45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4.25" x14ac:dyDescent="0.45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4.25" x14ac:dyDescent="0.45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4.25" x14ac:dyDescent="0.45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4.25" x14ac:dyDescent="0.45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4.25" x14ac:dyDescent="0.45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4.25" x14ac:dyDescent="0.45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4.25" x14ac:dyDescent="0.45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4.25" x14ac:dyDescent="0.4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4.25" x14ac:dyDescent="0.45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4.25" x14ac:dyDescent="0.45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4.25" x14ac:dyDescent="0.45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4.25" x14ac:dyDescent="0.45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4.25" x14ac:dyDescent="0.45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4.25" x14ac:dyDescent="0.45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4.25" x14ac:dyDescent="0.45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4.25" x14ac:dyDescent="0.45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4.25" x14ac:dyDescent="0.45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4.25" x14ac:dyDescent="0.4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4.25" x14ac:dyDescent="0.45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4.25" x14ac:dyDescent="0.45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4.25" x14ac:dyDescent="0.45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4.25" x14ac:dyDescent="0.45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4.25" x14ac:dyDescent="0.45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4.25" x14ac:dyDescent="0.45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4.25" x14ac:dyDescent="0.45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4.25" x14ac:dyDescent="0.45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4.25" x14ac:dyDescent="0.45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4.25" x14ac:dyDescent="0.4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4.25" x14ac:dyDescent="0.45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4.25" x14ac:dyDescent="0.45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4.25" x14ac:dyDescent="0.45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4.25" x14ac:dyDescent="0.45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4.25" x14ac:dyDescent="0.45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4.25" x14ac:dyDescent="0.45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4.25" x14ac:dyDescent="0.45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4.25" x14ac:dyDescent="0.45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4.25" x14ac:dyDescent="0.45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4.25" x14ac:dyDescent="0.4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4.25" x14ac:dyDescent="0.45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4.25" x14ac:dyDescent="0.45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4.25" x14ac:dyDescent="0.45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4.25" x14ac:dyDescent="0.45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4.25" x14ac:dyDescent="0.45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4.25" x14ac:dyDescent="0.45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4.25" x14ac:dyDescent="0.45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4.25" x14ac:dyDescent="0.45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4.25" x14ac:dyDescent="0.45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4.25" x14ac:dyDescent="0.4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4.25" x14ac:dyDescent="0.45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4.25" x14ac:dyDescent="0.45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4.25" x14ac:dyDescent="0.45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4.25" x14ac:dyDescent="0.45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4.25" x14ac:dyDescent="0.45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4.25" x14ac:dyDescent="0.45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4.25" x14ac:dyDescent="0.45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4.25" x14ac:dyDescent="0.45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4.25" x14ac:dyDescent="0.45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4.25" x14ac:dyDescent="0.4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4.25" x14ac:dyDescent="0.45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4.25" x14ac:dyDescent="0.45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4.25" x14ac:dyDescent="0.45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4.25" x14ac:dyDescent="0.45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4.25" x14ac:dyDescent="0.45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4.25" x14ac:dyDescent="0.45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4.25" x14ac:dyDescent="0.45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4.25" x14ac:dyDescent="0.45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4.25" x14ac:dyDescent="0.45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4.25" x14ac:dyDescent="0.4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4.25" x14ac:dyDescent="0.45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4.25" x14ac:dyDescent="0.45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4.25" x14ac:dyDescent="0.45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4.25" x14ac:dyDescent="0.45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4.25" x14ac:dyDescent="0.45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4.25" x14ac:dyDescent="0.45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4.25" x14ac:dyDescent="0.45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4.25" x14ac:dyDescent="0.45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4.25" x14ac:dyDescent="0.45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4.25" x14ac:dyDescent="0.4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4.25" x14ac:dyDescent="0.45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4.25" x14ac:dyDescent="0.45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4.25" x14ac:dyDescent="0.45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4.25" x14ac:dyDescent="0.45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4.25" x14ac:dyDescent="0.45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4.25" x14ac:dyDescent="0.45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4.25" x14ac:dyDescent="0.45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4.25" x14ac:dyDescent="0.45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4.25" x14ac:dyDescent="0.45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4.25" x14ac:dyDescent="0.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4.25" x14ac:dyDescent="0.45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4.25" x14ac:dyDescent="0.45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4.25" x14ac:dyDescent="0.45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4.25" x14ac:dyDescent="0.45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4.25" x14ac:dyDescent="0.45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4.25" x14ac:dyDescent="0.45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4.25" x14ac:dyDescent="0.45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4.25" x14ac:dyDescent="0.45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4.25" x14ac:dyDescent="0.45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4.25" x14ac:dyDescent="0.4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4.25" x14ac:dyDescent="0.45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4.25" x14ac:dyDescent="0.45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4.25" x14ac:dyDescent="0.45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4.25" x14ac:dyDescent="0.45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4.25" x14ac:dyDescent="0.45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4.25" x14ac:dyDescent="0.45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4.25" x14ac:dyDescent="0.45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4.25" x14ac:dyDescent="0.45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4.25" x14ac:dyDescent="0.45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4.25" x14ac:dyDescent="0.4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4.25" x14ac:dyDescent="0.45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4.25" x14ac:dyDescent="0.45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4.25" x14ac:dyDescent="0.45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4.25" x14ac:dyDescent="0.45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4.25" x14ac:dyDescent="0.45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4.25" x14ac:dyDescent="0.45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4.25" x14ac:dyDescent="0.45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4.25" x14ac:dyDescent="0.45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4.25" x14ac:dyDescent="0.45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4.25" x14ac:dyDescent="0.4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4.25" x14ac:dyDescent="0.45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4.25" x14ac:dyDescent="0.45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4.25" x14ac:dyDescent="0.45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4.25" x14ac:dyDescent="0.45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4.25" x14ac:dyDescent="0.45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4.25" x14ac:dyDescent="0.45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4.25" x14ac:dyDescent="0.45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4.25" x14ac:dyDescent="0.45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4.25" x14ac:dyDescent="0.45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4.25" x14ac:dyDescent="0.4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4.25" x14ac:dyDescent="0.45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4.25" x14ac:dyDescent="0.45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4.25" x14ac:dyDescent="0.45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4.25" x14ac:dyDescent="0.45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4.25" x14ac:dyDescent="0.45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4.25" x14ac:dyDescent="0.45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4.25" x14ac:dyDescent="0.45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4.25" x14ac:dyDescent="0.45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4.25" x14ac:dyDescent="0.45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4.25" x14ac:dyDescent="0.4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4.25" x14ac:dyDescent="0.45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4.25" x14ac:dyDescent="0.45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4.25" x14ac:dyDescent="0.45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4.25" x14ac:dyDescent="0.45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4.25" x14ac:dyDescent="0.45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A14" sqref="A14"/>
    </sheetView>
  </sheetViews>
  <sheetFormatPr defaultColWidth="12.59765625" defaultRowHeight="15.75" customHeight="1" x14ac:dyDescent="0.35"/>
  <cols>
    <col min="1" max="1" width="26.265625" customWidth="1"/>
  </cols>
  <sheetData>
    <row r="1" spans="1:26" ht="15.75" customHeight="1" x14ac:dyDescent="0.45">
      <c r="A1" s="23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 x14ac:dyDescent="0.4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 x14ac:dyDescent="0.45">
      <c r="A3" s="4" t="s">
        <v>12</v>
      </c>
      <c r="B3" s="11" t="str">
        <f>LEFT(A3,4)</f>
        <v>Lady</v>
      </c>
      <c r="C3" s="8" t="s">
        <v>13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 x14ac:dyDescent="0.4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 x14ac:dyDescent="0.45">
      <c r="A5" s="7" t="s">
        <v>14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 x14ac:dyDescent="0.4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 x14ac:dyDescent="0.45">
      <c r="A7" s="4" t="s">
        <v>15</v>
      </c>
      <c r="B7" s="11" t="str">
        <f>RIGHT(A7,8)</f>
        <v>Zeppelin</v>
      </c>
      <c r="C7" s="8" t="s">
        <v>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 x14ac:dyDescent="0.4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 x14ac:dyDescent="0.45">
      <c r="A9" s="7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 x14ac:dyDescent="0.45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 x14ac:dyDescent="0.45">
      <c r="A11" s="4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 x14ac:dyDescent="0.4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 x14ac:dyDescent="0.45">
      <c r="A13" s="24" t="str" cm="1">
        <f t="array" ref="A13:L13">MID(A11:L11,103,26)</f>
        <v>I am absolutely amazing!!!</v>
      </c>
      <c r="B13" s="5" t="str">
        <v/>
      </c>
      <c r="C13" s="5" t="str">
        <v/>
      </c>
      <c r="D13" s="5" t="str">
        <v/>
      </c>
      <c r="E13" s="5" t="str">
        <v/>
      </c>
      <c r="F13" s="5" t="str">
        <v/>
      </c>
      <c r="G13" s="5" t="str">
        <v/>
      </c>
      <c r="H13" s="5" t="str">
        <v/>
      </c>
      <c r="I13" s="5" t="str">
        <v/>
      </c>
      <c r="J13" s="5" t="str">
        <v/>
      </c>
      <c r="K13" s="5" t="str">
        <v/>
      </c>
      <c r="L13" s="5" t="str">
        <v/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 x14ac:dyDescent="0.45">
      <c r="A14" s="7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 x14ac:dyDescent="0.4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 x14ac:dyDescent="0.4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 x14ac:dyDescent="0.4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 x14ac:dyDescent="0.4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 x14ac:dyDescent="0.4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 x14ac:dyDescent="0.4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 x14ac:dyDescent="0.4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 x14ac:dyDescent="0.4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 x14ac:dyDescent="0.4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 x14ac:dyDescent="0.4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 x14ac:dyDescent="0.4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 x14ac:dyDescent="0.4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5.75" customHeight="1" x14ac:dyDescent="0.4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25" x14ac:dyDescent="0.4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25" x14ac:dyDescent="0.4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25" x14ac:dyDescent="0.4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25" x14ac:dyDescent="0.4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25" x14ac:dyDescent="0.4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25" x14ac:dyDescent="0.4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25" x14ac:dyDescent="0.4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25" x14ac:dyDescent="0.4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25" x14ac:dyDescent="0.4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25" x14ac:dyDescent="0.4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25" x14ac:dyDescent="0.4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25" x14ac:dyDescent="0.4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25" x14ac:dyDescent="0.4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25" x14ac:dyDescent="0.4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25" x14ac:dyDescent="0.4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25" x14ac:dyDescent="0.4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25" x14ac:dyDescent="0.4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25" x14ac:dyDescent="0.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25" x14ac:dyDescent="0.4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25" x14ac:dyDescent="0.4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25" x14ac:dyDescent="0.4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25" x14ac:dyDescent="0.4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25" x14ac:dyDescent="0.4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25" x14ac:dyDescent="0.4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25" x14ac:dyDescent="0.4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25" x14ac:dyDescent="0.4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25" x14ac:dyDescent="0.4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25" x14ac:dyDescent="0.4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25" x14ac:dyDescent="0.4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25" x14ac:dyDescent="0.4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25" x14ac:dyDescent="0.4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25" x14ac:dyDescent="0.4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25" x14ac:dyDescent="0.4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25" x14ac:dyDescent="0.4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25" x14ac:dyDescent="0.4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25" x14ac:dyDescent="0.4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25" x14ac:dyDescent="0.4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25" x14ac:dyDescent="0.4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25" x14ac:dyDescent="0.4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25" x14ac:dyDescent="0.4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25" x14ac:dyDescent="0.4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25" x14ac:dyDescent="0.4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25" x14ac:dyDescent="0.4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25" x14ac:dyDescent="0.4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25" x14ac:dyDescent="0.4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25" x14ac:dyDescent="0.4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25" x14ac:dyDescent="0.4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25" x14ac:dyDescent="0.4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25" x14ac:dyDescent="0.4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25" x14ac:dyDescent="0.4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25" x14ac:dyDescent="0.4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25" x14ac:dyDescent="0.4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25" x14ac:dyDescent="0.4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25" x14ac:dyDescent="0.4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25" x14ac:dyDescent="0.4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25" x14ac:dyDescent="0.4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25" x14ac:dyDescent="0.4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25" x14ac:dyDescent="0.4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25" x14ac:dyDescent="0.4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25" x14ac:dyDescent="0.4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25" x14ac:dyDescent="0.4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25" x14ac:dyDescent="0.4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25" x14ac:dyDescent="0.4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25" x14ac:dyDescent="0.4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25" x14ac:dyDescent="0.4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25" x14ac:dyDescent="0.4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25" x14ac:dyDescent="0.4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25" x14ac:dyDescent="0.4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25" x14ac:dyDescent="0.4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25" x14ac:dyDescent="0.4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25" x14ac:dyDescent="0.4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25" x14ac:dyDescent="0.4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25" x14ac:dyDescent="0.4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25" x14ac:dyDescent="0.4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25" x14ac:dyDescent="0.4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25" x14ac:dyDescent="0.4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25" x14ac:dyDescent="0.4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25" x14ac:dyDescent="0.4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25" x14ac:dyDescent="0.4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25" x14ac:dyDescent="0.4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25" x14ac:dyDescent="0.4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25" x14ac:dyDescent="0.4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25" x14ac:dyDescent="0.4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25" x14ac:dyDescent="0.4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25" x14ac:dyDescent="0.4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25" x14ac:dyDescent="0.4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25" x14ac:dyDescent="0.4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25" x14ac:dyDescent="0.4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25" x14ac:dyDescent="0.4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25" x14ac:dyDescent="0.4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25" x14ac:dyDescent="0.4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25" x14ac:dyDescent="0.4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25" x14ac:dyDescent="0.4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25" x14ac:dyDescent="0.4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25" x14ac:dyDescent="0.4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25" x14ac:dyDescent="0.4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25" x14ac:dyDescent="0.4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25" x14ac:dyDescent="0.4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25" x14ac:dyDescent="0.4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25" x14ac:dyDescent="0.4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25" x14ac:dyDescent="0.4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25" x14ac:dyDescent="0.4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25" x14ac:dyDescent="0.4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25" x14ac:dyDescent="0.4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25" x14ac:dyDescent="0.4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25" x14ac:dyDescent="0.4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25" x14ac:dyDescent="0.4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25" x14ac:dyDescent="0.4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25" x14ac:dyDescent="0.4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25" x14ac:dyDescent="0.4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25" x14ac:dyDescent="0.4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25" x14ac:dyDescent="0.4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25" x14ac:dyDescent="0.4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25" x14ac:dyDescent="0.4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25" x14ac:dyDescent="0.4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25" x14ac:dyDescent="0.4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25" x14ac:dyDescent="0.4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25" x14ac:dyDescent="0.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25" x14ac:dyDescent="0.4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25" x14ac:dyDescent="0.4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25" x14ac:dyDescent="0.4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25" x14ac:dyDescent="0.4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25" x14ac:dyDescent="0.4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25" x14ac:dyDescent="0.4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25" x14ac:dyDescent="0.4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25" x14ac:dyDescent="0.4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25" x14ac:dyDescent="0.4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25" x14ac:dyDescent="0.4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25" x14ac:dyDescent="0.4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25" x14ac:dyDescent="0.4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25" x14ac:dyDescent="0.4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25" x14ac:dyDescent="0.4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25" x14ac:dyDescent="0.4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25" x14ac:dyDescent="0.4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25" x14ac:dyDescent="0.4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25" x14ac:dyDescent="0.4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25" x14ac:dyDescent="0.4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25" x14ac:dyDescent="0.4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25" x14ac:dyDescent="0.4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25" x14ac:dyDescent="0.4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25" x14ac:dyDescent="0.4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25" x14ac:dyDescent="0.4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25" x14ac:dyDescent="0.4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25" x14ac:dyDescent="0.4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25" x14ac:dyDescent="0.4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25" x14ac:dyDescent="0.4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25" x14ac:dyDescent="0.4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25" x14ac:dyDescent="0.4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25" x14ac:dyDescent="0.4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25" x14ac:dyDescent="0.4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25" x14ac:dyDescent="0.4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25" x14ac:dyDescent="0.4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25" x14ac:dyDescent="0.4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25" x14ac:dyDescent="0.4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25" x14ac:dyDescent="0.4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25" x14ac:dyDescent="0.4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25" x14ac:dyDescent="0.4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25" x14ac:dyDescent="0.4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25" x14ac:dyDescent="0.4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25" x14ac:dyDescent="0.4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25" x14ac:dyDescent="0.4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25" x14ac:dyDescent="0.4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25" x14ac:dyDescent="0.4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25" x14ac:dyDescent="0.4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25" x14ac:dyDescent="0.4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25" x14ac:dyDescent="0.4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25" x14ac:dyDescent="0.4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25" x14ac:dyDescent="0.4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25" x14ac:dyDescent="0.4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25" x14ac:dyDescent="0.4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25" x14ac:dyDescent="0.4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25" x14ac:dyDescent="0.4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25" x14ac:dyDescent="0.4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25" x14ac:dyDescent="0.45">
      <c r="A201" s="25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7"/>
    </row>
    <row r="202" spans="1:26" ht="14.25" x14ac:dyDescent="0.45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7"/>
    </row>
    <row r="203" spans="1:26" ht="14.25" x14ac:dyDescent="0.45">
      <c r="A203" s="25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7"/>
    </row>
    <row r="204" spans="1:26" ht="14.25" x14ac:dyDescent="0.45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7"/>
    </row>
    <row r="205" spans="1:26" ht="14.25" x14ac:dyDescent="0.45">
      <c r="A205" s="25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7"/>
    </row>
    <row r="206" spans="1:26" ht="14.25" x14ac:dyDescent="0.45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7"/>
    </row>
    <row r="207" spans="1:26" ht="14.25" x14ac:dyDescent="0.45">
      <c r="A207" s="2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7"/>
    </row>
    <row r="208" spans="1:26" ht="14.25" x14ac:dyDescent="0.45">
      <c r="A208" s="25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7"/>
    </row>
    <row r="209" spans="1:26" ht="14.25" x14ac:dyDescent="0.45">
      <c r="A209" s="2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7"/>
    </row>
    <row r="210" spans="1:26" ht="14.25" x14ac:dyDescent="0.45">
      <c r="A210" s="2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7"/>
    </row>
    <row r="211" spans="1:26" ht="14.25" x14ac:dyDescent="0.45">
      <c r="A211" s="2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7"/>
    </row>
    <row r="212" spans="1:26" ht="14.25" x14ac:dyDescent="0.45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7"/>
    </row>
    <row r="213" spans="1:26" ht="14.25" x14ac:dyDescent="0.45">
      <c r="A213" s="25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7"/>
    </row>
    <row r="214" spans="1:26" ht="14.25" x14ac:dyDescent="0.45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7"/>
    </row>
    <row r="215" spans="1:26" ht="14.25" x14ac:dyDescent="0.45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7"/>
    </row>
    <row r="216" spans="1:26" ht="14.25" x14ac:dyDescent="0.45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</row>
    <row r="217" spans="1:26" ht="14.25" x14ac:dyDescent="0.45">
      <c r="A217" s="25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7"/>
    </row>
    <row r="218" spans="1:26" ht="14.25" x14ac:dyDescent="0.45">
      <c r="A218" s="2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7"/>
    </row>
    <row r="219" spans="1:26" ht="14.25" x14ac:dyDescent="0.45">
      <c r="A219" s="25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7"/>
    </row>
    <row r="220" spans="1:26" ht="14.25" x14ac:dyDescent="0.45">
      <c r="A220" s="25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7"/>
    </row>
    <row r="221" spans="1:26" ht="14.25" x14ac:dyDescent="0.45">
      <c r="A221" s="25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7"/>
    </row>
    <row r="222" spans="1:26" ht="14.25" x14ac:dyDescent="0.45">
      <c r="A222" s="2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7"/>
    </row>
    <row r="223" spans="1:26" ht="14.25" x14ac:dyDescent="0.45">
      <c r="A223" s="25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7"/>
    </row>
    <row r="224" spans="1:26" ht="14.25" x14ac:dyDescent="0.45">
      <c r="A224" s="25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7"/>
    </row>
    <row r="225" spans="1:26" ht="14.25" x14ac:dyDescent="0.45">
      <c r="A225" s="25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7"/>
    </row>
    <row r="226" spans="1:26" ht="14.25" x14ac:dyDescent="0.45">
      <c r="A226" s="2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7"/>
    </row>
    <row r="227" spans="1:26" ht="14.25" x14ac:dyDescent="0.45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7"/>
    </row>
    <row r="228" spans="1:26" ht="14.25" x14ac:dyDescent="0.45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7"/>
    </row>
    <row r="229" spans="1:26" ht="14.25" x14ac:dyDescent="0.45">
      <c r="A229" s="25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7"/>
    </row>
    <row r="230" spans="1:26" ht="14.25" x14ac:dyDescent="0.45">
      <c r="A230" s="25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7"/>
    </row>
    <row r="231" spans="1:26" ht="14.25" x14ac:dyDescent="0.45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7"/>
    </row>
    <row r="232" spans="1:26" ht="14.25" x14ac:dyDescent="0.45">
      <c r="A232" s="25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7"/>
    </row>
    <row r="233" spans="1:26" ht="14.25" x14ac:dyDescent="0.45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7"/>
    </row>
    <row r="234" spans="1:26" ht="14.25" x14ac:dyDescent="0.45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7"/>
    </row>
    <row r="235" spans="1:26" ht="14.25" x14ac:dyDescent="0.45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7"/>
    </row>
    <row r="236" spans="1:26" ht="14.25" x14ac:dyDescent="0.45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7"/>
    </row>
    <row r="237" spans="1:26" ht="14.25" x14ac:dyDescent="0.45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7"/>
    </row>
    <row r="238" spans="1:26" ht="14.25" x14ac:dyDescent="0.45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7"/>
    </row>
    <row r="239" spans="1:26" ht="14.25" x14ac:dyDescent="0.45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7"/>
    </row>
    <row r="240" spans="1:26" ht="14.25" x14ac:dyDescent="0.45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7"/>
    </row>
    <row r="241" spans="1:26" ht="14.25" x14ac:dyDescent="0.45">
      <c r="A241" s="25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7"/>
    </row>
    <row r="242" spans="1:26" ht="14.25" x14ac:dyDescent="0.45">
      <c r="A242" s="25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7"/>
    </row>
    <row r="243" spans="1:26" ht="14.25" x14ac:dyDescent="0.45">
      <c r="A243" s="2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7"/>
    </row>
    <row r="244" spans="1:26" ht="14.25" x14ac:dyDescent="0.45">
      <c r="A244" s="25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7"/>
    </row>
    <row r="245" spans="1:26" ht="14.25" x14ac:dyDescent="0.45">
      <c r="A245" s="25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7"/>
    </row>
    <row r="246" spans="1:26" ht="14.25" x14ac:dyDescent="0.45">
      <c r="A246" s="2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7"/>
    </row>
    <row r="247" spans="1:26" ht="14.25" x14ac:dyDescent="0.45">
      <c r="A247" s="25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7"/>
    </row>
    <row r="248" spans="1:26" ht="14.25" x14ac:dyDescent="0.45">
      <c r="A248" s="2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7"/>
    </row>
    <row r="249" spans="1:26" ht="14.25" x14ac:dyDescent="0.45">
      <c r="A249" s="2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7"/>
    </row>
    <row r="250" spans="1:26" ht="14.25" x14ac:dyDescent="0.45">
      <c r="A250" s="2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7"/>
    </row>
    <row r="251" spans="1:26" ht="14.25" x14ac:dyDescent="0.45">
      <c r="A251" s="2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7"/>
    </row>
    <row r="252" spans="1:26" ht="14.25" x14ac:dyDescent="0.45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7"/>
    </row>
    <row r="253" spans="1:26" ht="14.25" x14ac:dyDescent="0.45">
      <c r="A253" s="25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7"/>
    </row>
    <row r="254" spans="1:26" ht="14.25" x14ac:dyDescent="0.45">
      <c r="A254" s="2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</row>
    <row r="255" spans="1:26" ht="14.25" x14ac:dyDescent="0.45">
      <c r="A255" s="2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7"/>
    </row>
    <row r="256" spans="1:26" ht="14.25" x14ac:dyDescent="0.45">
      <c r="A256" s="2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7"/>
    </row>
    <row r="257" spans="1:26" ht="14.25" x14ac:dyDescent="0.45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7"/>
    </row>
    <row r="258" spans="1:26" ht="14.25" x14ac:dyDescent="0.45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7"/>
    </row>
    <row r="259" spans="1:26" ht="14.25" x14ac:dyDescent="0.45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7"/>
    </row>
    <row r="260" spans="1:26" ht="14.25" x14ac:dyDescent="0.45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7"/>
    </row>
    <row r="261" spans="1:26" ht="14.25" x14ac:dyDescent="0.45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7"/>
    </row>
    <row r="262" spans="1:26" ht="14.25" x14ac:dyDescent="0.45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7"/>
    </row>
    <row r="263" spans="1:26" ht="14.25" x14ac:dyDescent="0.45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7"/>
    </row>
    <row r="264" spans="1:26" ht="14.25" x14ac:dyDescent="0.45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7"/>
    </row>
    <row r="265" spans="1:26" ht="14.25" x14ac:dyDescent="0.45">
      <c r="A265" s="25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7"/>
    </row>
    <row r="266" spans="1:26" ht="14.25" x14ac:dyDescent="0.45">
      <c r="A266" s="2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7"/>
    </row>
    <row r="267" spans="1:26" ht="14.25" x14ac:dyDescent="0.45">
      <c r="A267" s="2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7"/>
    </row>
    <row r="268" spans="1:26" ht="14.25" x14ac:dyDescent="0.45">
      <c r="A268" s="2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7"/>
    </row>
    <row r="269" spans="1:26" ht="14.25" x14ac:dyDescent="0.45">
      <c r="A269" s="2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7"/>
    </row>
    <row r="270" spans="1:26" ht="14.25" x14ac:dyDescent="0.45">
      <c r="A270" s="2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7"/>
    </row>
    <row r="271" spans="1:26" ht="14.25" x14ac:dyDescent="0.45">
      <c r="A271" s="2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7"/>
    </row>
    <row r="272" spans="1:26" ht="14.25" x14ac:dyDescent="0.45">
      <c r="A272" s="2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7"/>
    </row>
    <row r="273" spans="1:26" ht="14.25" x14ac:dyDescent="0.45">
      <c r="A273" s="2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7"/>
    </row>
    <row r="274" spans="1:26" ht="14.25" x14ac:dyDescent="0.45">
      <c r="A274" s="2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7"/>
    </row>
    <row r="275" spans="1:26" ht="14.25" x14ac:dyDescent="0.45">
      <c r="A275" s="25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7"/>
    </row>
    <row r="276" spans="1:26" ht="14.25" x14ac:dyDescent="0.45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7"/>
    </row>
    <row r="277" spans="1:26" ht="14.25" x14ac:dyDescent="0.45">
      <c r="A277" s="25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7"/>
    </row>
    <row r="278" spans="1:26" ht="14.25" x14ac:dyDescent="0.45">
      <c r="A278" s="2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7"/>
    </row>
    <row r="279" spans="1:26" ht="14.25" x14ac:dyDescent="0.45">
      <c r="A279" s="2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7"/>
    </row>
    <row r="280" spans="1:26" ht="14.25" x14ac:dyDescent="0.45">
      <c r="A280" s="2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7"/>
    </row>
    <row r="281" spans="1:26" ht="14.25" x14ac:dyDescent="0.45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7"/>
    </row>
    <row r="282" spans="1:26" ht="14.25" x14ac:dyDescent="0.45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7"/>
    </row>
    <row r="283" spans="1:26" ht="14.25" x14ac:dyDescent="0.45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7"/>
    </row>
    <row r="284" spans="1:26" ht="14.25" x14ac:dyDescent="0.45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7"/>
    </row>
    <row r="285" spans="1:26" ht="14.25" x14ac:dyDescent="0.45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7"/>
    </row>
    <row r="286" spans="1:26" ht="14.25" x14ac:dyDescent="0.45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7"/>
    </row>
    <row r="287" spans="1:26" ht="14.25" x14ac:dyDescent="0.45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7"/>
    </row>
    <row r="288" spans="1:26" ht="14.25" x14ac:dyDescent="0.45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7"/>
    </row>
    <row r="289" spans="1:26" ht="14.25" x14ac:dyDescent="0.45">
      <c r="A289" s="2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7"/>
    </row>
    <row r="290" spans="1:26" ht="14.25" x14ac:dyDescent="0.45">
      <c r="A290" s="2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7"/>
    </row>
    <row r="291" spans="1:26" ht="14.25" x14ac:dyDescent="0.45">
      <c r="A291" s="2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7"/>
    </row>
    <row r="292" spans="1:26" ht="14.25" x14ac:dyDescent="0.45">
      <c r="A292" s="2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</row>
    <row r="293" spans="1:26" ht="14.25" x14ac:dyDescent="0.45">
      <c r="A293" s="25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7"/>
    </row>
    <row r="294" spans="1:26" ht="14.25" x14ac:dyDescent="0.45">
      <c r="A294" s="2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7"/>
    </row>
    <row r="295" spans="1:26" ht="14.25" x14ac:dyDescent="0.45">
      <c r="A295" s="25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7"/>
    </row>
    <row r="296" spans="1:26" ht="14.25" x14ac:dyDescent="0.45">
      <c r="A296" s="2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7"/>
    </row>
    <row r="297" spans="1:26" ht="14.25" x14ac:dyDescent="0.45">
      <c r="A297" s="2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7"/>
    </row>
    <row r="298" spans="1:26" ht="14.25" x14ac:dyDescent="0.45">
      <c r="A298" s="2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7"/>
    </row>
    <row r="299" spans="1:26" ht="14.25" x14ac:dyDescent="0.45">
      <c r="A299" s="25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7"/>
    </row>
    <row r="300" spans="1:26" ht="14.25" x14ac:dyDescent="0.45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7"/>
    </row>
    <row r="301" spans="1:26" ht="14.25" x14ac:dyDescent="0.45">
      <c r="A301" s="25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7"/>
    </row>
    <row r="302" spans="1:26" ht="14.25" x14ac:dyDescent="0.45">
      <c r="A302" s="2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7"/>
    </row>
    <row r="303" spans="1:26" ht="14.25" x14ac:dyDescent="0.45">
      <c r="A303" s="25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7"/>
    </row>
    <row r="304" spans="1:26" ht="14.25" x14ac:dyDescent="0.45">
      <c r="A304" s="2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7"/>
    </row>
    <row r="305" spans="1:26" ht="14.25" x14ac:dyDescent="0.45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7"/>
    </row>
    <row r="306" spans="1:26" ht="14.25" x14ac:dyDescent="0.45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7"/>
    </row>
    <row r="307" spans="1:26" ht="14.25" x14ac:dyDescent="0.45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7"/>
    </row>
    <row r="308" spans="1:26" ht="14.25" x14ac:dyDescent="0.45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7"/>
    </row>
    <row r="309" spans="1:26" ht="14.25" x14ac:dyDescent="0.45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7"/>
    </row>
    <row r="310" spans="1:26" ht="14.25" x14ac:dyDescent="0.45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7"/>
    </row>
    <row r="311" spans="1:26" ht="14.25" x14ac:dyDescent="0.45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7"/>
    </row>
    <row r="312" spans="1:26" ht="14.25" x14ac:dyDescent="0.45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7"/>
    </row>
    <row r="313" spans="1:26" ht="14.25" x14ac:dyDescent="0.45">
      <c r="A313" s="25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7"/>
    </row>
    <row r="314" spans="1:26" ht="14.25" x14ac:dyDescent="0.45">
      <c r="A314" s="2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7"/>
    </row>
    <row r="315" spans="1:26" ht="14.25" x14ac:dyDescent="0.45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7"/>
    </row>
    <row r="316" spans="1:26" ht="14.25" x14ac:dyDescent="0.45">
      <c r="A316" s="2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7"/>
    </row>
    <row r="317" spans="1:26" ht="14.25" x14ac:dyDescent="0.45">
      <c r="A317" s="2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7"/>
    </row>
    <row r="318" spans="1:26" ht="14.25" x14ac:dyDescent="0.45">
      <c r="A318" s="2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7"/>
    </row>
    <row r="319" spans="1:26" ht="14.25" x14ac:dyDescent="0.45">
      <c r="A319" s="25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7"/>
    </row>
    <row r="320" spans="1:26" ht="14.25" x14ac:dyDescent="0.45">
      <c r="A320" s="2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7"/>
    </row>
    <row r="321" spans="1:26" ht="14.25" x14ac:dyDescent="0.45">
      <c r="A321" s="2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7"/>
    </row>
    <row r="322" spans="1:26" ht="14.25" x14ac:dyDescent="0.45">
      <c r="A322" s="2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7"/>
    </row>
    <row r="323" spans="1:26" ht="14.25" x14ac:dyDescent="0.45">
      <c r="A323" s="2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7"/>
    </row>
    <row r="324" spans="1:26" ht="14.25" x14ac:dyDescent="0.45">
      <c r="A324" s="2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7"/>
    </row>
    <row r="325" spans="1:26" ht="14.25" x14ac:dyDescent="0.45">
      <c r="A325" s="2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7"/>
    </row>
    <row r="326" spans="1:26" ht="14.25" x14ac:dyDescent="0.45">
      <c r="A326" s="2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7"/>
    </row>
    <row r="327" spans="1:26" ht="14.25" x14ac:dyDescent="0.45">
      <c r="A327" s="2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7"/>
    </row>
    <row r="328" spans="1:26" ht="14.25" x14ac:dyDescent="0.45">
      <c r="A328" s="2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7"/>
    </row>
    <row r="329" spans="1:26" ht="14.25" x14ac:dyDescent="0.45">
      <c r="A329" s="25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7"/>
    </row>
    <row r="330" spans="1:26" ht="14.25" x14ac:dyDescent="0.45">
      <c r="A330" s="2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</row>
    <row r="331" spans="1:26" ht="14.25" x14ac:dyDescent="0.45">
      <c r="A331" s="25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7"/>
    </row>
    <row r="332" spans="1:26" ht="14.25" x14ac:dyDescent="0.45">
      <c r="A332" s="2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7"/>
    </row>
    <row r="333" spans="1:26" ht="14.25" x14ac:dyDescent="0.45">
      <c r="A333" s="25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7"/>
    </row>
    <row r="334" spans="1:26" ht="14.25" x14ac:dyDescent="0.45">
      <c r="A334" s="2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7"/>
    </row>
    <row r="335" spans="1:26" ht="14.25" x14ac:dyDescent="0.45">
      <c r="A335" s="25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7"/>
    </row>
    <row r="336" spans="1:26" ht="14.25" x14ac:dyDescent="0.45">
      <c r="A336" s="2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7"/>
    </row>
    <row r="337" spans="1:26" ht="14.25" x14ac:dyDescent="0.45">
      <c r="A337" s="2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7"/>
    </row>
    <row r="338" spans="1:26" ht="14.25" x14ac:dyDescent="0.45">
      <c r="A338" s="2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7"/>
    </row>
    <row r="339" spans="1:26" ht="14.25" x14ac:dyDescent="0.45">
      <c r="A339" s="2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7"/>
    </row>
    <row r="340" spans="1:26" ht="14.25" x14ac:dyDescent="0.45">
      <c r="A340" s="2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7"/>
    </row>
    <row r="341" spans="1:26" ht="14.25" x14ac:dyDescent="0.45">
      <c r="A341" s="25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7"/>
    </row>
    <row r="342" spans="1:26" ht="14.25" x14ac:dyDescent="0.45">
      <c r="A342" s="2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7"/>
    </row>
    <row r="343" spans="1:26" ht="14.25" x14ac:dyDescent="0.45">
      <c r="A343" s="25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7"/>
    </row>
    <row r="344" spans="1:26" ht="14.25" x14ac:dyDescent="0.45">
      <c r="A344" s="2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7"/>
    </row>
    <row r="345" spans="1:26" ht="14.25" x14ac:dyDescent="0.45">
      <c r="A345" s="25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7"/>
    </row>
    <row r="346" spans="1:26" ht="14.25" x14ac:dyDescent="0.45">
      <c r="A346" s="2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7"/>
    </row>
    <row r="347" spans="1:26" ht="14.25" x14ac:dyDescent="0.45">
      <c r="A347" s="2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7"/>
    </row>
    <row r="348" spans="1:26" ht="14.25" x14ac:dyDescent="0.45">
      <c r="A348" s="2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7"/>
    </row>
    <row r="349" spans="1:26" ht="14.25" x14ac:dyDescent="0.45">
      <c r="A349" s="25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7"/>
    </row>
    <row r="350" spans="1:26" ht="14.25" x14ac:dyDescent="0.45">
      <c r="A350" s="2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7"/>
    </row>
    <row r="351" spans="1:26" ht="14.25" x14ac:dyDescent="0.45">
      <c r="A351" s="25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7"/>
    </row>
    <row r="352" spans="1:26" ht="14.25" x14ac:dyDescent="0.45">
      <c r="A352" s="2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7"/>
    </row>
    <row r="353" spans="1:26" ht="14.25" x14ac:dyDescent="0.45">
      <c r="A353" s="25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7"/>
    </row>
    <row r="354" spans="1:26" ht="14.25" x14ac:dyDescent="0.45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7"/>
    </row>
    <row r="355" spans="1:26" ht="14.25" x14ac:dyDescent="0.45">
      <c r="A355" s="25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7"/>
    </row>
    <row r="356" spans="1:26" ht="14.25" x14ac:dyDescent="0.45">
      <c r="A356" s="2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7"/>
    </row>
    <row r="357" spans="1:26" ht="14.25" x14ac:dyDescent="0.45">
      <c r="A357" s="2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7"/>
    </row>
    <row r="358" spans="1:26" ht="14.25" x14ac:dyDescent="0.45">
      <c r="A358" s="2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7"/>
    </row>
    <row r="359" spans="1:26" ht="14.25" x14ac:dyDescent="0.45">
      <c r="A359" s="2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7"/>
    </row>
    <row r="360" spans="1:26" ht="14.25" x14ac:dyDescent="0.45">
      <c r="A360" s="2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7"/>
    </row>
    <row r="361" spans="1:26" ht="14.25" x14ac:dyDescent="0.45">
      <c r="A361" s="25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7"/>
    </row>
    <row r="362" spans="1:26" ht="14.25" x14ac:dyDescent="0.45">
      <c r="A362" s="2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7"/>
    </row>
    <row r="363" spans="1:26" ht="14.25" x14ac:dyDescent="0.45">
      <c r="A363" s="25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7"/>
    </row>
    <row r="364" spans="1:26" ht="14.25" x14ac:dyDescent="0.45">
      <c r="A364" s="2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7"/>
    </row>
    <row r="365" spans="1:26" ht="14.25" x14ac:dyDescent="0.45">
      <c r="A365" s="2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7"/>
    </row>
    <row r="366" spans="1:26" ht="14.25" x14ac:dyDescent="0.45">
      <c r="A366" s="2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7"/>
    </row>
    <row r="367" spans="1:26" ht="14.25" x14ac:dyDescent="0.45">
      <c r="A367" s="2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7"/>
    </row>
    <row r="368" spans="1:26" ht="14.25" x14ac:dyDescent="0.45">
      <c r="A368" s="2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</row>
    <row r="369" spans="1:26" ht="14.25" x14ac:dyDescent="0.45">
      <c r="A369" s="2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7"/>
    </row>
    <row r="370" spans="1:26" ht="14.25" x14ac:dyDescent="0.45">
      <c r="A370" s="2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7"/>
    </row>
    <row r="371" spans="1:26" ht="14.25" x14ac:dyDescent="0.45">
      <c r="A371" s="2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7"/>
    </row>
    <row r="372" spans="1:26" ht="14.25" x14ac:dyDescent="0.45">
      <c r="A372" s="2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7"/>
    </row>
    <row r="373" spans="1:26" ht="14.25" x14ac:dyDescent="0.45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7"/>
    </row>
    <row r="374" spans="1:26" ht="14.25" x14ac:dyDescent="0.45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7"/>
    </row>
    <row r="375" spans="1:26" ht="14.25" x14ac:dyDescent="0.45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7"/>
    </row>
    <row r="376" spans="1:26" ht="14.25" x14ac:dyDescent="0.45">
      <c r="A376" s="2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7"/>
    </row>
    <row r="377" spans="1:26" ht="14.25" x14ac:dyDescent="0.45">
      <c r="A377" s="25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7"/>
    </row>
    <row r="378" spans="1:26" ht="14.25" x14ac:dyDescent="0.45">
      <c r="A378" s="2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7"/>
    </row>
    <row r="379" spans="1:26" ht="14.25" x14ac:dyDescent="0.45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7"/>
    </row>
    <row r="380" spans="1:26" ht="14.25" x14ac:dyDescent="0.45">
      <c r="A380" s="2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7"/>
    </row>
    <row r="381" spans="1:26" ht="14.25" x14ac:dyDescent="0.45">
      <c r="A381" s="2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7"/>
    </row>
    <row r="382" spans="1:26" ht="14.25" x14ac:dyDescent="0.45">
      <c r="A382" s="2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7"/>
    </row>
    <row r="383" spans="1:26" ht="14.25" x14ac:dyDescent="0.45">
      <c r="A383" s="25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7"/>
    </row>
    <row r="384" spans="1:26" ht="14.25" x14ac:dyDescent="0.45">
      <c r="A384" s="2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7"/>
    </row>
    <row r="385" spans="1:26" ht="14.25" x14ac:dyDescent="0.45">
      <c r="A385" s="25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7"/>
    </row>
    <row r="386" spans="1:26" ht="14.25" x14ac:dyDescent="0.45">
      <c r="A386" s="2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7"/>
    </row>
    <row r="387" spans="1:26" ht="14.25" x14ac:dyDescent="0.45">
      <c r="A387" s="2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7"/>
    </row>
    <row r="388" spans="1:26" ht="14.25" x14ac:dyDescent="0.45">
      <c r="A388" s="2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7"/>
    </row>
    <row r="389" spans="1:26" ht="14.25" x14ac:dyDescent="0.45">
      <c r="A389" s="2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7"/>
    </row>
    <row r="390" spans="1:26" ht="14.25" x14ac:dyDescent="0.45">
      <c r="A390" s="2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7"/>
    </row>
    <row r="391" spans="1:26" ht="14.25" x14ac:dyDescent="0.45">
      <c r="A391" s="25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7"/>
    </row>
    <row r="392" spans="1:26" ht="14.25" x14ac:dyDescent="0.45">
      <c r="A392" s="2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7"/>
    </row>
    <row r="393" spans="1:26" ht="14.25" x14ac:dyDescent="0.45">
      <c r="A393" s="2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7"/>
    </row>
    <row r="394" spans="1:26" ht="14.25" x14ac:dyDescent="0.45">
      <c r="A394" s="2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7"/>
    </row>
    <row r="395" spans="1:26" ht="14.25" x14ac:dyDescent="0.45">
      <c r="A395" s="25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7"/>
    </row>
    <row r="396" spans="1:26" ht="14.25" x14ac:dyDescent="0.45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7"/>
    </row>
    <row r="397" spans="1:26" ht="14.25" x14ac:dyDescent="0.45">
      <c r="A397" s="2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7"/>
    </row>
    <row r="398" spans="1:26" ht="14.25" x14ac:dyDescent="0.45">
      <c r="A398" s="2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7"/>
    </row>
    <row r="399" spans="1:26" ht="14.25" x14ac:dyDescent="0.45">
      <c r="A399" s="2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7"/>
    </row>
    <row r="400" spans="1:26" ht="14.25" x14ac:dyDescent="0.45">
      <c r="A400" s="2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7"/>
    </row>
    <row r="401" spans="1:26" ht="14.25" x14ac:dyDescent="0.45">
      <c r="A401" s="2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7"/>
    </row>
    <row r="402" spans="1:26" ht="14.25" x14ac:dyDescent="0.45">
      <c r="A402" s="2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7"/>
    </row>
    <row r="403" spans="1:26" ht="14.25" x14ac:dyDescent="0.45">
      <c r="A403" s="25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7"/>
    </row>
    <row r="404" spans="1:26" ht="14.25" x14ac:dyDescent="0.45">
      <c r="A404" s="2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7"/>
    </row>
    <row r="405" spans="1:26" ht="14.25" x14ac:dyDescent="0.45">
      <c r="A405" s="2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7"/>
    </row>
    <row r="406" spans="1:26" ht="14.25" x14ac:dyDescent="0.45">
      <c r="A406" s="2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</row>
    <row r="407" spans="1:26" ht="14.25" x14ac:dyDescent="0.45">
      <c r="A407" s="25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7"/>
    </row>
    <row r="408" spans="1:26" ht="14.25" x14ac:dyDescent="0.45">
      <c r="A408" s="2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7"/>
    </row>
    <row r="409" spans="1:26" ht="14.25" x14ac:dyDescent="0.45">
      <c r="A409" s="2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7"/>
    </row>
    <row r="410" spans="1:26" ht="14.25" x14ac:dyDescent="0.45">
      <c r="A410" s="2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7"/>
    </row>
    <row r="411" spans="1:26" ht="14.25" x14ac:dyDescent="0.45">
      <c r="A411" s="2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7"/>
    </row>
    <row r="412" spans="1:26" ht="14.25" x14ac:dyDescent="0.45">
      <c r="A412" s="2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7"/>
    </row>
    <row r="413" spans="1:26" ht="14.25" x14ac:dyDescent="0.45">
      <c r="A413" s="25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7"/>
    </row>
    <row r="414" spans="1:26" ht="14.25" x14ac:dyDescent="0.45">
      <c r="A414" s="2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7"/>
    </row>
    <row r="415" spans="1:26" ht="14.25" x14ac:dyDescent="0.45">
      <c r="A415" s="25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7"/>
    </row>
    <row r="416" spans="1:26" ht="14.25" x14ac:dyDescent="0.45">
      <c r="A416" s="2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7"/>
    </row>
    <row r="417" spans="1:26" ht="14.25" x14ac:dyDescent="0.45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7"/>
    </row>
    <row r="418" spans="1:26" ht="14.25" x14ac:dyDescent="0.45">
      <c r="A418" s="2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7"/>
    </row>
    <row r="419" spans="1:26" ht="14.25" x14ac:dyDescent="0.45">
      <c r="A419" s="25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7"/>
    </row>
    <row r="420" spans="1:26" ht="14.25" x14ac:dyDescent="0.45">
      <c r="A420" s="2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7"/>
    </row>
    <row r="421" spans="1:26" ht="14.25" x14ac:dyDescent="0.45">
      <c r="A421" s="25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7"/>
    </row>
    <row r="422" spans="1:26" ht="14.25" x14ac:dyDescent="0.45">
      <c r="A422" s="2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7"/>
    </row>
    <row r="423" spans="1:26" ht="14.25" x14ac:dyDescent="0.45">
      <c r="A423" s="2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7"/>
    </row>
    <row r="424" spans="1:26" ht="14.25" x14ac:dyDescent="0.45">
      <c r="A424" s="2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7"/>
    </row>
    <row r="425" spans="1:26" ht="14.25" x14ac:dyDescent="0.45">
      <c r="A425" s="2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7"/>
    </row>
    <row r="426" spans="1:26" ht="14.25" x14ac:dyDescent="0.45">
      <c r="A426" s="2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7"/>
    </row>
    <row r="427" spans="1:26" ht="14.25" x14ac:dyDescent="0.45">
      <c r="A427" s="25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7"/>
    </row>
    <row r="428" spans="1:26" ht="14.25" x14ac:dyDescent="0.45">
      <c r="A428" s="2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7"/>
    </row>
    <row r="429" spans="1:26" ht="14.25" x14ac:dyDescent="0.45">
      <c r="A429" s="25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7"/>
    </row>
    <row r="430" spans="1:26" ht="14.25" x14ac:dyDescent="0.45">
      <c r="A430" s="2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7"/>
    </row>
    <row r="431" spans="1:26" ht="14.25" x14ac:dyDescent="0.45">
      <c r="A431" s="25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7"/>
    </row>
    <row r="432" spans="1:26" ht="14.25" x14ac:dyDescent="0.45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7"/>
    </row>
    <row r="433" spans="1:26" ht="14.25" x14ac:dyDescent="0.45">
      <c r="A433" s="25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7"/>
    </row>
    <row r="434" spans="1:26" ht="14.25" x14ac:dyDescent="0.45">
      <c r="A434" s="2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7"/>
    </row>
    <row r="435" spans="1:26" ht="14.25" x14ac:dyDescent="0.45">
      <c r="A435" s="25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7"/>
    </row>
    <row r="436" spans="1:26" ht="14.25" x14ac:dyDescent="0.45">
      <c r="A436" s="2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7"/>
    </row>
    <row r="437" spans="1:26" ht="14.25" x14ac:dyDescent="0.45">
      <c r="A437" s="25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7"/>
    </row>
    <row r="438" spans="1:26" ht="14.25" x14ac:dyDescent="0.45">
      <c r="A438" s="2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7"/>
    </row>
    <row r="439" spans="1:26" ht="14.25" x14ac:dyDescent="0.45">
      <c r="A439" s="25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7"/>
    </row>
    <row r="440" spans="1:26" ht="14.25" x14ac:dyDescent="0.45">
      <c r="A440" s="2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7"/>
    </row>
    <row r="441" spans="1:26" ht="14.25" x14ac:dyDescent="0.45">
      <c r="A441" s="2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7"/>
    </row>
    <row r="442" spans="1:26" ht="14.25" x14ac:dyDescent="0.45">
      <c r="A442" s="2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7"/>
    </row>
    <row r="443" spans="1:26" ht="14.25" x14ac:dyDescent="0.45">
      <c r="A443" s="25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7"/>
    </row>
    <row r="444" spans="1:26" ht="14.25" x14ac:dyDescent="0.45">
      <c r="A444" s="2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</row>
    <row r="445" spans="1:26" ht="14.25" x14ac:dyDescent="0.45">
      <c r="A445" s="2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7"/>
    </row>
    <row r="446" spans="1:26" ht="14.25" x14ac:dyDescent="0.45">
      <c r="A446" s="2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7"/>
    </row>
    <row r="447" spans="1:26" ht="14.25" x14ac:dyDescent="0.45">
      <c r="A447" s="2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7"/>
    </row>
    <row r="448" spans="1:26" ht="14.25" x14ac:dyDescent="0.45">
      <c r="A448" s="2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7"/>
    </row>
    <row r="449" spans="1:26" ht="14.25" x14ac:dyDescent="0.45">
      <c r="A449" s="25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7"/>
    </row>
    <row r="450" spans="1:26" ht="14.25" x14ac:dyDescent="0.45">
      <c r="A450" s="2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7"/>
    </row>
    <row r="451" spans="1:26" ht="14.25" x14ac:dyDescent="0.45">
      <c r="A451" s="25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7"/>
    </row>
    <row r="452" spans="1:26" ht="14.25" x14ac:dyDescent="0.45">
      <c r="A452" s="2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7"/>
    </row>
    <row r="453" spans="1:26" ht="14.25" x14ac:dyDescent="0.45">
      <c r="A453" s="2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7"/>
    </row>
    <row r="454" spans="1:26" ht="14.25" x14ac:dyDescent="0.45">
      <c r="A454" s="2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7"/>
    </row>
    <row r="455" spans="1:26" ht="14.25" x14ac:dyDescent="0.45">
      <c r="A455" s="2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7"/>
    </row>
    <row r="456" spans="1:26" ht="14.25" x14ac:dyDescent="0.45">
      <c r="A456" s="2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7"/>
    </row>
    <row r="457" spans="1:26" ht="14.25" x14ac:dyDescent="0.45">
      <c r="A457" s="25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7"/>
    </row>
    <row r="458" spans="1:26" ht="14.25" x14ac:dyDescent="0.45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7"/>
    </row>
    <row r="459" spans="1:26" ht="14.25" x14ac:dyDescent="0.45">
      <c r="A459" s="2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7"/>
    </row>
    <row r="460" spans="1:26" ht="14.25" x14ac:dyDescent="0.45">
      <c r="A460" s="2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7"/>
    </row>
    <row r="461" spans="1:26" ht="14.25" x14ac:dyDescent="0.45">
      <c r="A461" s="25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7"/>
    </row>
    <row r="462" spans="1:26" ht="14.25" x14ac:dyDescent="0.45">
      <c r="A462" s="2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7"/>
    </row>
    <row r="463" spans="1:26" ht="14.25" x14ac:dyDescent="0.45">
      <c r="A463" s="25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7"/>
    </row>
    <row r="464" spans="1:26" ht="14.25" x14ac:dyDescent="0.45">
      <c r="A464" s="2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7"/>
    </row>
    <row r="465" spans="1:26" ht="14.25" x14ac:dyDescent="0.45">
      <c r="A465" s="2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7"/>
    </row>
    <row r="466" spans="1:26" ht="14.25" x14ac:dyDescent="0.45">
      <c r="A466" s="2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7"/>
    </row>
    <row r="467" spans="1:26" ht="14.25" x14ac:dyDescent="0.45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7"/>
    </row>
    <row r="468" spans="1:26" ht="14.25" x14ac:dyDescent="0.45">
      <c r="A468" s="2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7"/>
    </row>
    <row r="469" spans="1:26" ht="14.25" x14ac:dyDescent="0.45">
      <c r="A469" s="25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7"/>
    </row>
    <row r="470" spans="1:26" ht="14.25" x14ac:dyDescent="0.45">
      <c r="A470" s="2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7"/>
    </row>
    <row r="471" spans="1:26" ht="14.25" x14ac:dyDescent="0.45">
      <c r="A471" s="25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7"/>
    </row>
    <row r="472" spans="1:26" ht="14.25" x14ac:dyDescent="0.45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7"/>
    </row>
    <row r="473" spans="1:26" ht="14.25" x14ac:dyDescent="0.45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7"/>
    </row>
    <row r="474" spans="1:26" ht="14.25" x14ac:dyDescent="0.45">
      <c r="A474" s="2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7"/>
    </row>
    <row r="475" spans="1:26" ht="14.25" x14ac:dyDescent="0.45">
      <c r="A475" s="25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7"/>
    </row>
    <row r="476" spans="1:26" ht="14.25" x14ac:dyDescent="0.45">
      <c r="A476" s="2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7"/>
    </row>
    <row r="477" spans="1:26" ht="14.25" x14ac:dyDescent="0.45">
      <c r="A477" s="25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7"/>
    </row>
    <row r="478" spans="1:26" ht="14.25" x14ac:dyDescent="0.45">
      <c r="A478" s="2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7"/>
    </row>
    <row r="479" spans="1:26" ht="14.25" x14ac:dyDescent="0.45">
      <c r="A479" s="25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7"/>
    </row>
    <row r="480" spans="1:26" ht="14.25" x14ac:dyDescent="0.45">
      <c r="A480" s="2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7"/>
    </row>
    <row r="481" spans="1:26" ht="14.25" x14ac:dyDescent="0.45">
      <c r="A481" s="25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7"/>
    </row>
    <row r="482" spans="1:26" ht="14.25" x14ac:dyDescent="0.45">
      <c r="A482" s="2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</row>
    <row r="483" spans="1:26" ht="14.25" x14ac:dyDescent="0.45">
      <c r="A483" s="25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7"/>
    </row>
    <row r="484" spans="1:26" ht="14.25" x14ac:dyDescent="0.45">
      <c r="A484" s="2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7"/>
    </row>
    <row r="485" spans="1:26" ht="14.25" x14ac:dyDescent="0.45">
      <c r="A485" s="25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7"/>
    </row>
    <row r="486" spans="1:26" ht="14.25" x14ac:dyDescent="0.45">
      <c r="A486" s="2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7"/>
    </row>
    <row r="487" spans="1:26" ht="14.25" x14ac:dyDescent="0.45">
      <c r="A487" s="25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7"/>
    </row>
    <row r="488" spans="1:26" ht="14.25" x14ac:dyDescent="0.45">
      <c r="A488" s="2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7"/>
    </row>
    <row r="489" spans="1:26" ht="14.25" x14ac:dyDescent="0.45">
      <c r="A489" s="25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7"/>
    </row>
    <row r="490" spans="1:26" ht="14.25" x14ac:dyDescent="0.45">
      <c r="A490" s="2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7"/>
    </row>
    <row r="491" spans="1:26" ht="14.25" x14ac:dyDescent="0.45">
      <c r="A491" s="25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7"/>
    </row>
    <row r="492" spans="1:26" ht="14.25" x14ac:dyDescent="0.45">
      <c r="A492" s="2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7"/>
    </row>
    <row r="493" spans="1:26" ht="14.25" x14ac:dyDescent="0.45">
      <c r="A493" s="2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7"/>
    </row>
    <row r="494" spans="1:26" ht="14.25" x14ac:dyDescent="0.45">
      <c r="A494" s="2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7"/>
    </row>
    <row r="495" spans="1:26" ht="14.25" x14ac:dyDescent="0.45">
      <c r="A495" s="25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7"/>
    </row>
    <row r="496" spans="1:26" ht="14.25" x14ac:dyDescent="0.45">
      <c r="A496" s="2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7"/>
    </row>
    <row r="497" spans="1:26" ht="14.25" x14ac:dyDescent="0.45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7"/>
    </row>
    <row r="498" spans="1:26" ht="14.25" x14ac:dyDescent="0.45">
      <c r="A498" s="2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7"/>
    </row>
    <row r="499" spans="1:26" ht="14.25" x14ac:dyDescent="0.45">
      <c r="A499" s="25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7"/>
    </row>
    <row r="500" spans="1:26" ht="14.25" x14ac:dyDescent="0.45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7"/>
    </row>
    <row r="501" spans="1:26" ht="14.25" x14ac:dyDescent="0.45">
      <c r="A501" s="25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7"/>
    </row>
    <row r="502" spans="1:26" ht="14.25" x14ac:dyDescent="0.45">
      <c r="A502" s="2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7"/>
    </row>
    <row r="503" spans="1:26" ht="14.25" x14ac:dyDescent="0.45">
      <c r="A503" s="25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7"/>
    </row>
    <row r="504" spans="1:26" ht="14.25" x14ac:dyDescent="0.45">
      <c r="A504" s="2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7"/>
    </row>
    <row r="505" spans="1:26" ht="14.25" x14ac:dyDescent="0.45">
      <c r="A505" s="25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7"/>
    </row>
    <row r="506" spans="1:26" ht="14.25" x14ac:dyDescent="0.45">
      <c r="A506" s="2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7"/>
    </row>
    <row r="507" spans="1:26" ht="14.25" x14ac:dyDescent="0.45">
      <c r="A507" s="25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7"/>
    </row>
    <row r="508" spans="1:26" ht="14.25" x14ac:dyDescent="0.45">
      <c r="A508" s="2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7"/>
    </row>
    <row r="509" spans="1:26" ht="14.25" x14ac:dyDescent="0.45">
      <c r="A509" s="25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7"/>
    </row>
    <row r="510" spans="1:26" ht="14.25" x14ac:dyDescent="0.45">
      <c r="A510" s="2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7"/>
    </row>
    <row r="511" spans="1:26" ht="14.25" x14ac:dyDescent="0.45">
      <c r="A511" s="25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7"/>
    </row>
    <row r="512" spans="1:26" ht="14.25" x14ac:dyDescent="0.45">
      <c r="A512" s="2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7"/>
    </row>
    <row r="513" spans="1:26" ht="14.25" x14ac:dyDescent="0.45">
      <c r="A513" s="25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7"/>
    </row>
    <row r="514" spans="1:26" ht="14.25" x14ac:dyDescent="0.45">
      <c r="A514" s="2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7"/>
    </row>
    <row r="515" spans="1:26" ht="14.25" x14ac:dyDescent="0.45">
      <c r="A515" s="25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7"/>
    </row>
    <row r="516" spans="1:26" ht="14.25" x14ac:dyDescent="0.45">
      <c r="A516" s="2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7"/>
    </row>
    <row r="517" spans="1:26" ht="14.25" x14ac:dyDescent="0.45">
      <c r="A517" s="25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7"/>
    </row>
    <row r="518" spans="1:26" ht="14.25" x14ac:dyDescent="0.45">
      <c r="A518" s="2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7"/>
    </row>
    <row r="519" spans="1:26" ht="14.25" x14ac:dyDescent="0.45">
      <c r="A519" s="25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7"/>
    </row>
    <row r="520" spans="1:26" ht="14.25" x14ac:dyDescent="0.45">
      <c r="A520" s="2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</row>
    <row r="521" spans="1:26" ht="14.25" x14ac:dyDescent="0.45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7"/>
    </row>
    <row r="522" spans="1:26" ht="14.25" x14ac:dyDescent="0.45">
      <c r="A522" s="2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7"/>
    </row>
    <row r="523" spans="1:26" ht="14.25" x14ac:dyDescent="0.45">
      <c r="A523" s="25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7"/>
    </row>
    <row r="524" spans="1:26" ht="14.25" x14ac:dyDescent="0.45">
      <c r="A524" s="2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7"/>
    </row>
    <row r="525" spans="1:26" ht="14.25" x14ac:dyDescent="0.45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7"/>
    </row>
    <row r="526" spans="1:26" ht="14.25" x14ac:dyDescent="0.45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7"/>
    </row>
    <row r="527" spans="1:26" ht="14.25" x14ac:dyDescent="0.45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7"/>
    </row>
    <row r="528" spans="1:26" ht="14.25" x14ac:dyDescent="0.45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7"/>
    </row>
    <row r="529" spans="1:26" ht="14.25" x14ac:dyDescent="0.45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7"/>
    </row>
    <row r="530" spans="1:26" ht="14.25" x14ac:dyDescent="0.45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7"/>
    </row>
    <row r="531" spans="1:26" ht="14.25" x14ac:dyDescent="0.45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7"/>
    </row>
    <row r="532" spans="1:26" ht="14.25" x14ac:dyDescent="0.45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7"/>
    </row>
    <row r="533" spans="1:26" ht="14.25" x14ac:dyDescent="0.45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7"/>
    </row>
    <row r="534" spans="1:26" ht="14.25" x14ac:dyDescent="0.45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7"/>
    </row>
    <row r="535" spans="1:26" ht="14.25" x14ac:dyDescent="0.45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7"/>
    </row>
    <row r="536" spans="1:26" ht="14.25" x14ac:dyDescent="0.45">
      <c r="A536" s="2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7"/>
    </row>
    <row r="537" spans="1:26" ht="14.25" x14ac:dyDescent="0.45">
      <c r="A537" s="25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7"/>
    </row>
    <row r="538" spans="1:26" ht="14.25" x14ac:dyDescent="0.45">
      <c r="A538" s="2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7"/>
    </row>
    <row r="539" spans="1:26" ht="14.25" x14ac:dyDescent="0.45">
      <c r="A539" s="25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7"/>
    </row>
    <row r="540" spans="1:26" ht="14.25" x14ac:dyDescent="0.45">
      <c r="A540" s="2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7"/>
    </row>
    <row r="541" spans="1:26" ht="14.25" x14ac:dyDescent="0.45">
      <c r="A541" s="25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7"/>
    </row>
    <row r="542" spans="1:26" ht="14.25" x14ac:dyDescent="0.45">
      <c r="A542" s="2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7"/>
    </row>
    <row r="543" spans="1:26" ht="14.25" x14ac:dyDescent="0.45">
      <c r="A543" s="25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7"/>
    </row>
    <row r="544" spans="1:26" ht="14.25" x14ac:dyDescent="0.45">
      <c r="A544" s="2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7"/>
    </row>
    <row r="545" spans="1:26" ht="14.25" x14ac:dyDescent="0.45">
      <c r="A545" s="25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7"/>
    </row>
    <row r="546" spans="1:26" ht="14.25" x14ac:dyDescent="0.45">
      <c r="A546" s="2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7"/>
    </row>
    <row r="547" spans="1:26" ht="14.25" x14ac:dyDescent="0.45">
      <c r="A547" s="2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7"/>
    </row>
    <row r="548" spans="1:26" ht="14.25" x14ac:dyDescent="0.45">
      <c r="A548" s="2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7"/>
    </row>
    <row r="549" spans="1:26" ht="14.25" x14ac:dyDescent="0.45">
      <c r="A549" s="25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7"/>
    </row>
    <row r="550" spans="1:26" ht="14.25" x14ac:dyDescent="0.45">
      <c r="A550" s="2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7"/>
    </row>
    <row r="551" spans="1:26" ht="14.25" x14ac:dyDescent="0.45">
      <c r="A551" s="25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7"/>
    </row>
    <row r="552" spans="1:26" ht="14.25" x14ac:dyDescent="0.45">
      <c r="A552" s="2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7"/>
    </row>
    <row r="553" spans="1:26" ht="14.25" x14ac:dyDescent="0.45">
      <c r="A553" s="25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7"/>
    </row>
    <row r="554" spans="1:26" ht="14.25" x14ac:dyDescent="0.45">
      <c r="A554" s="2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7"/>
    </row>
    <row r="555" spans="1:26" ht="14.25" x14ac:dyDescent="0.45">
      <c r="A555" s="25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7"/>
    </row>
    <row r="556" spans="1:26" ht="14.25" x14ac:dyDescent="0.45">
      <c r="A556" s="2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7"/>
    </row>
    <row r="557" spans="1:26" ht="14.25" x14ac:dyDescent="0.45">
      <c r="A557" s="25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7"/>
    </row>
    <row r="558" spans="1:26" ht="14.25" x14ac:dyDescent="0.45">
      <c r="A558" s="2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</row>
    <row r="559" spans="1:26" ht="14.25" x14ac:dyDescent="0.45">
      <c r="A559" s="25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7"/>
    </row>
    <row r="560" spans="1:26" ht="14.25" x14ac:dyDescent="0.45">
      <c r="A560" s="2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7"/>
    </row>
    <row r="561" spans="1:26" ht="14.25" x14ac:dyDescent="0.45">
      <c r="A561" s="2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7"/>
    </row>
    <row r="562" spans="1:26" ht="14.25" x14ac:dyDescent="0.45">
      <c r="A562" s="2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7"/>
    </row>
    <row r="563" spans="1:26" ht="14.25" x14ac:dyDescent="0.45">
      <c r="A563" s="25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7"/>
    </row>
    <row r="564" spans="1:26" ht="14.25" x14ac:dyDescent="0.45">
      <c r="A564" s="2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7"/>
    </row>
    <row r="565" spans="1:26" ht="14.25" x14ac:dyDescent="0.45">
      <c r="A565" s="25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7"/>
    </row>
    <row r="566" spans="1:26" ht="14.25" x14ac:dyDescent="0.45">
      <c r="A566" s="2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7"/>
    </row>
    <row r="567" spans="1:26" ht="14.25" x14ac:dyDescent="0.45">
      <c r="A567" s="25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7"/>
    </row>
    <row r="568" spans="1:26" ht="14.25" x14ac:dyDescent="0.45">
      <c r="A568" s="2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7"/>
    </row>
    <row r="569" spans="1:26" ht="14.25" x14ac:dyDescent="0.45">
      <c r="A569" s="25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7"/>
    </row>
    <row r="570" spans="1:26" ht="14.25" x14ac:dyDescent="0.45">
      <c r="A570" s="2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7"/>
    </row>
    <row r="571" spans="1:26" ht="14.25" x14ac:dyDescent="0.45">
      <c r="A571" s="25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7"/>
    </row>
    <row r="572" spans="1:26" ht="14.25" x14ac:dyDescent="0.45">
      <c r="A572" s="2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7"/>
    </row>
    <row r="573" spans="1:26" ht="14.25" x14ac:dyDescent="0.45">
      <c r="A573" s="25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7"/>
    </row>
    <row r="574" spans="1:26" ht="14.25" x14ac:dyDescent="0.45">
      <c r="A574" s="2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7"/>
    </row>
    <row r="575" spans="1:26" ht="14.25" x14ac:dyDescent="0.45">
      <c r="A575" s="25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7"/>
    </row>
    <row r="576" spans="1:26" ht="14.25" x14ac:dyDescent="0.45">
      <c r="A576" s="2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7"/>
    </row>
    <row r="577" spans="1:26" ht="14.25" x14ac:dyDescent="0.45">
      <c r="A577" s="25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7"/>
    </row>
    <row r="578" spans="1:26" ht="14.25" x14ac:dyDescent="0.45">
      <c r="A578" s="2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7"/>
    </row>
    <row r="579" spans="1:26" ht="14.25" x14ac:dyDescent="0.45">
      <c r="A579" s="25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7"/>
    </row>
    <row r="580" spans="1:26" ht="14.25" x14ac:dyDescent="0.45">
      <c r="A580" s="2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7"/>
    </row>
    <row r="581" spans="1:26" ht="14.25" x14ac:dyDescent="0.45">
      <c r="A581" s="25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7"/>
    </row>
    <row r="582" spans="1:26" ht="14.25" x14ac:dyDescent="0.45">
      <c r="A582" s="2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7"/>
    </row>
    <row r="583" spans="1:26" ht="14.25" x14ac:dyDescent="0.45">
      <c r="A583" s="25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7"/>
    </row>
    <row r="584" spans="1:26" ht="14.25" x14ac:dyDescent="0.45">
      <c r="A584" s="2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7"/>
    </row>
    <row r="585" spans="1:26" ht="14.25" x14ac:dyDescent="0.45">
      <c r="A585" s="25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7"/>
    </row>
    <row r="586" spans="1:26" ht="14.25" x14ac:dyDescent="0.45">
      <c r="A586" s="2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7"/>
    </row>
    <row r="587" spans="1:26" ht="14.25" x14ac:dyDescent="0.45">
      <c r="A587" s="25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7"/>
    </row>
    <row r="588" spans="1:26" ht="14.25" x14ac:dyDescent="0.45">
      <c r="A588" s="2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7"/>
    </row>
    <row r="589" spans="1:26" ht="14.25" x14ac:dyDescent="0.45">
      <c r="A589" s="25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7"/>
    </row>
    <row r="590" spans="1:26" ht="14.25" x14ac:dyDescent="0.45">
      <c r="A590" s="2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7"/>
    </row>
    <row r="591" spans="1:26" ht="14.25" x14ac:dyDescent="0.45">
      <c r="A591" s="25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7"/>
    </row>
    <row r="592" spans="1:26" ht="14.25" x14ac:dyDescent="0.45">
      <c r="A592" s="2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7"/>
    </row>
    <row r="593" spans="1:26" ht="14.25" x14ac:dyDescent="0.45">
      <c r="A593" s="25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7"/>
    </row>
    <row r="594" spans="1:26" ht="14.25" x14ac:dyDescent="0.45">
      <c r="A594" s="2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7"/>
    </row>
    <row r="595" spans="1:26" ht="14.25" x14ac:dyDescent="0.45">
      <c r="A595" s="25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7"/>
    </row>
    <row r="596" spans="1:26" ht="14.25" x14ac:dyDescent="0.45">
      <c r="A596" s="2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</row>
    <row r="597" spans="1:26" ht="14.25" x14ac:dyDescent="0.45">
      <c r="A597" s="25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7"/>
    </row>
    <row r="598" spans="1:26" ht="14.25" x14ac:dyDescent="0.45">
      <c r="A598" s="2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7"/>
    </row>
    <row r="599" spans="1:26" ht="14.25" x14ac:dyDescent="0.45">
      <c r="A599" s="25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7"/>
    </row>
    <row r="600" spans="1:26" ht="14.25" x14ac:dyDescent="0.45">
      <c r="A600" s="2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7"/>
    </row>
    <row r="601" spans="1:26" ht="14.25" x14ac:dyDescent="0.45">
      <c r="A601" s="25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7"/>
    </row>
    <row r="602" spans="1:26" ht="14.25" x14ac:dyDescent="0.45">
      <c r="A602" s="2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7"/>
    </row>
    <row r="603" spans="1:26" ht="14.25" x14ac:dyDescent="0.45">
      <c r="A603" s="25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7"/>
    </row>
    <row r="604" spans="1:26" ht="14.25" x14ac:dyDescent="0.45">
      <c r="A604" s="2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7"/>
    </row>
    <row r="605" spans="1:26" ht="14.25" x14ac:dyDescent="0.45">
      <c r="A605" s="25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7"/>
    </row>
    <row r="606" spans="1:26" ht="14.25" x14ac:dyDescent="0.45">
      <c r="A606" s="2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7"/>
    </row>
    <row r="607" spans="1:26" ht="14.25" x14ac:dyDescent="0.45">
      <c r="A607" s="25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7"/>
    </row>
    <row r="608" spans="1:26" ht="14.25" x14ac:dyDescent="0.45">
      <c r="A608" s="2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7"/>
    </row>
    <row r="609" spans="1:26" ht="14.25" x14ac:dyDescent="0.45">
      <c r="A609" s="25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7"/>
    </row>
    <row r="610" spans="1:26" ht="14.25" x14ac:dyDescent="0.45">
      <c r="A610" s="2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7"/>
    </row>
    <row r="611" spans="1:26" ht="14.25" x14ac:dyDescent="0.45">
      <c r="A611" s="25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7"/>
    </row>
    <row r="612" spans="1:26" ht="14.25" x14ac:dyDescent="0.45">
      <c r="A612" s="2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7"/>
    </row>
    <row r="613" spans="1:26" ht="14.25" x14ac:dyDescent="0.45">
      <c r="A613" s="25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7"/>
    </row>
    <row r="614" spans="1:26" ht="14.25" x14ac:dyDescent="0.45">
      <c r="A614" s="2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7"/>
    </row>
    <row r="615" spans="1:26" ht="14.25" x14ac:dyDescent="0.45">
      <c r="A615" s="25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7"/>
    </row>
    <row r="616" spans="1:26" ht="14.25" x14ac:dyDescent="0.45">
      <c r="A616" s="2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7"/>
    </row>
    <row r="617" spans="1:26" ht="14.25" x14ac:dyDescent="0.45">
      <c r="A617" s="25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7"/>
    </row>
    <row r="618" spans="1:26" ht="14.25" x14ac:dyDescent="0.45">
      <c r="A618" s="2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7"/>
    </row>
    <row r="619" spans="1:26" ht="14.25" x14ac:dyDescent="0.45">
      <c r="A619" s="25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7"/>
    </row>
    <row r="620" spans="1:26" ht="14.25" x14ac:dyDescent="0.45">
      <c r="A620" s="2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7"/>
    </row>
    <row r="621" spans="1:26" ht="14.25" x14ac:dyDescent="0.45">
      <c r="A621" s="25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7"/>
    </row>
    <row r="622" spans="1:26" ht="14.25" x14ac:dyDescent="0.45">
      <c r="A622" s="2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7"/>
    </row>
    <row r="623" spans="1:26" ht="14.25" x14ac:dyDescent="0.45">
      <c r="A623" s="25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7"/>
    </row>
    <row r="624" spans="1:26" ht="14.25" x14ac:dyDescent="0.45">
      <c r="A624" s="2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7"/>
    </row>
    <row r="625" spans="1:26" ht="14.25" x14ac:dyDescent="0.45">
      <c r="A625" s="25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7"/>
    </row>
    <row r="626" spans="1:26" ht="14.25" x14ac:dyDescent="0.45">
      <c r="A626" s="2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7"/>
    </row>
    <row r="627" spans="1:26" ht="14.25" x14ac:dyDescent="0.45">
      <c r="A627" s="25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7"/>
    </row>
    <row r="628" spans="1:26" ht="14.25" x14ac:dyDescent="0.45">
      <c r="A628" s="2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7"/>
    </row>
    <row r="629" spans="1:26" ht="14.25" x14ac:dyDescent="0.45">
      <c r="A629" s="2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7"/>
    </row>
    <row r="630" spans="1:26" ht="14.25" x14ac:dyDescent="0.45">
      <c r="A630" s="2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7"/>
    </row>
    <row r="631" spans="1:26" ht="14.25" x14ac:dyDescent="0.45">
      <c r="A631" s="25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7"/>
    </row>
    <row r="632" spans="1:26" ht="14.25" x14ac:dyDescent="0.45">
      <c r="A632" s="2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7"/>
    </row>
    <row r="633" spans="1:26" ht="14.25" x14ac:dyDescent="0.45">
      <c r="A633" s="2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7"/>
    </row>
    <row r="634" spans="1:26" ht="14.25" x14ac:dyDescent="0.45">
      <c r="A634" s="2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</row>
    <row r="635" spans="1:26" ht="14.25" x14ac:dyDescent="0.45">
      <c r="A635" s="25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7"/>
    </row>
    <row r="636" spans="1:26" ht="14.25" x14ac:dyDescent="0.45">
      <c r="A636" s="2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7"/>
    </row>
    <row r="637" spans="1:26" ht="14.25" x14ac:dyDescent="0.45">
      <c r="A637" s="2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7"/>
    </row>
    <row r="638" spans="1:26" ht="14.25" x14ac:dyDescent="0.45">
      <c r="A638" s="2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7"/>
    </row>
    <row r="639" spans="1:26" ht="14.25" x14ac:dyDescent="0.45">
      <c r="A639" s="25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7"/>
    </row>
    <row r="640" spans="1:26" ht="14.25" x14ac:dyDescent="0.45">
      <c r="A640" s="2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7"/>
    </row>
    <row r="641" spans="1:26" ht="14.25" x14ac:dyDescent="0.45">
      <c r="A641" s="25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7"/>
    </row>
    <row r="642" spans="1:26" ht="14.25" x14ac:dyDescent="0.45">
      <c r="A642" s="2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7"/>
    </row>
    <row r="643" spans="1:26" ht="14.25" x14ac:dyDescent="0.45">
      <c r="A643" s="25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7"/>
    </row>
    <row r="644" spans="1:26" ht="14.25" x14ac:dyDescent="0.45">
      <c r="A644" s="2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7"/>
    </row>
    <row r="645" spans="1:26" ht="14.25" x14ac:dyDescent="0.45">
      <c r="A645" s="25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7"/>
    </row>
    <row r="646" spans="1:26" ht="14.25" x14ac:dyDescent="0.45">
      <c r="A646" s="2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7"/>
    </row>
    <row r="647" spans="1:26" ht="14.25" x14ac:dyDescent="0.45">
      <c r="A647" s="25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7"/>
    </row>
    <row r="648" spans="1:26" ht="14.25" x14ac:dyDescent="0.45">
      <c r="A648" s="2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7"/>
    </row>
    <row r="649" spans="1:26" ht="14.25" x14ac:dyDescent="0.45">
      <c r="A649" s="25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7"/>
    </row>
    <row r="650" spans="1:26" ht="14.25" x14ac:dyDescent="0.45">
      <c r="A650" s="2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7"/>
    </row>
    <row r="651" spans="1:26" ht="14.25" x14ac:dyDescent="0.45">
      <c r="A651" s="25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7"/>
    </row>
    <row r="652" spans="1:26" ht="14.25" x14ac:dyDescent="0.45">
      <c r="A652" s="2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7"/>
    </row>
    <row r="653" spans="1:26" ht="14.25" x14ac:dyDescent="0.45">
      <c r="A653" s="25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7"/>
    </row>
    <row r="654" spans="1:26" ht="14.25" x14ac:dyDescent="0.45">
      <c r="A654" s="2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7"/>
    </row>
    <row r="655" spans="1:26" ht="14.25" x14ac:dyDescent="0.45">
      <c r="A655" s="25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7"/>
    </row>
    <row r="656" spans="1:26" ht="14.25" x14ac:dyDescent="0.45">
      <c r="A656" s="2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7"/>
    </row>
    <row r="657" spans="1:26" ht="14.25" x14ac:dyDescent="0.45">
      <c r="A657" s="25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7"/>
    </row>
    <row r="658" spans="1:26" ht="14.25" x14ac:dyDescent="0.45">
      <c r="A658" s="2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7"/>
    </row>
    <row r="659" spans="1:26" ht="14.25" x14ac:dyDescent="0.45">
      <c r="A659" s="25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7"/>
    </row>
    <row r="660" spans="1:26" ht="14.25" x14ac:dyDescent="0.45">
      <c r="A660" s="2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7"/>
    </row>
    <row r="661" spans="1:26" ht="14.25" x14ac:dyDescent="0.45">
      <c r="A661" s="25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7"/>
    </row>
    <row r="662" spans="1:26" ht="14.25" x14ac:dyDescent="0.45">
      <c r="A662" s="2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7"/>
    </row>
    <row r="663" spans="1:26" ht="14.25" x14ac:dyDescent="0.45">
      <c r="A663" s="25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7"/>
    </row>
    <row r="664" spans="1:26" ht="14.25" x14ac:dyDescent="0.45">
      <c r="A664" s="2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7"/>
    </row>
    <row r="665" spans="1:26" ht="14.25" x14ac:dyDescent="0.45">
      <c r="A665" s="25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7"/>
    </row>
    <row r="666" spans="1:26" ht="14.25" x14ac:dyDescent="0.45">
      <c r="A666" s="2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7"/>
    </row>
    <row r="667" spans="1:26" ht="14.25" x14ac:dyDescent="0.45">
      <c r="A667" s="25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7"/>
    </row>
    <row r="668" spans="1:26" ht="14.25" x14ac:dyDescent="0.45">
      <c r="A668" s="2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7"/>
    </row>
    <row r="669" spans="1:26" ht="14.25" x14ac:dyDescent="0.45">
      <c r="A669" s="25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7"/>
    </row>
    <row r="670" spans="1:26" ht="14.25" x14ac:dyDescent="0.45">
      <c r="A670" s="2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7"/>
    </row>
    <row r="671" spans="1:26" ht="14.25" x14ac:dyDescent="0.45">
      <c r="A671" s="25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7"/>
    </row>
    <row r="672" spans="1:26" ht="14.25" x14ac:dyDescent="0.45">
      <c r="A672" s="2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</row>
    <row r="673" spans="1:26" ht="14.25" x14ac:dyDescent="0.45">
      <c r="A673" s="25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7"/>
    </row>
    <row r="674" spans="1:26" ht="14.25" x14ac:dyDescent="0.45">
      <c r="A674" s="2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7"/>
    </row>
    <row r="675" spans="1:26" ht="14.25" x14ac:dyDescent="0.45">
      <c r="A675" s="25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7"/>
    </row>
    <row r="676" spans="1:26" ht="14.25" x14ac:dyDescent="0.45">
      <c r="A676" s="2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7"/>
    </row>
    <row r="677" spans="1:26" ht="14.25" x14ac:dyDescent="0.45">
      <c r="A677" s="25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7"/>
    </row>
    <row r="678" spans="1:26" ht="14.25" x14ac:dyDescent="0.45">
      <c r="A678" s="2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7"/>
    </row>
    <row r="679" spans="1:26" ht="14.25" x14ac:dyDescent="0.45">
      <c r="A679" s="25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7"/>
    </row>
    <row r="680" spans="1:26" ht="14.25" x14ac:dyDescent="0.45">
      <c r="A680" s="2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7"/>
    </row>
    <row r="681" spans="1:26" ht="14.25" x14ac:dyDescent="0.45">
      <c r="A681" s="25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7"/>
    </row>
    <row r="682" spans="1:26" ht="14.25" x14ac:dyDescent="0.45">
      <c r="A682" s="2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7"/>
    </row>
    <row r="683" spans="1:26" ht="14.25" x14ac:dyDescent="0.45">
      <c r="A683" s="25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7"/>
    </row>
    <row r="684" spans="1:26" ht="14.25" x14ac:dyDescent="0.45">
      <c r="A684" s="2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7"/>
    </row>
    <row r="685" spans="1:26" ht="14.25" x14ac:dyDescent="0.45">
      <c r="A685" s="2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7"/>
    </row>
    <row r="686" spans="1:26" ht="14.25" x14ac:dyDescent="0.45">
      <c r="A686" s="2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7"/>
    </row>
    <row r="687" spans="1:26" ht="14.25" x14ac:dyDescent="0.45">
      <c r="A687" s="25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7"/>
    </row>
    <row r="688" spans="1:26" ht="14.25" x14ac:dyDescent="0.45">
      <c r="A688" s="2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7"/>
    </row>
    <row r="689" spans="1:26" ht="14.25" x14ac:dyDescent="0.45">
      <c r="A689" s="2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7"/>
    </row>
    <row r="690" spans="1:26" ht="14.25" x14ac:dyDescent="0.45">
      <c r="A690" s="2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7"/>
    </row>
    <row r="691" spans="1:26" ht="14.25" x14ac:dyDescent="0.45">
      <c r="A691" s="25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7"/>
    </row>
    <row r="692" spans="1:26" ht="14.25" x14ac:dyDescent="0.45">
      <c r="A692" s="2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7"/>
    </row>
    <row r="693" spans="1:26" ht="14.25" x14ac:dyDescent="0.45">
      <c r="A693" s="25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7"/>
    </row>
    <row r="694" spans="1:26" ht="14.25" x14ac:dyDescent="0.45">
      <c r="A694" s="2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7"/>
    </row>
    <row r="695" spans="1:26" ht="14.25" x14ac:dyDescent="0.45">
      <c r="A695" s="25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7"/>
    </row>
    <row r="696" spans="1:26" ht="14.25" x14ac:dyDescent="0.45">
      <c r="A696" s="2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7"/>
    </row>
    <row r="697" spans="1:26" ht="14.25" x14ac:dyDescent="0.45">
      <c r="A697" s="25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7"/>
    </row>
    <row r="698" spans="1:26" ht="14.25" x14ac:dyDescent="0.45">
      <c r="A698" s="2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7"/>
    </row>
    <row r="699" spans="1:26" ht="14.25" x14ac:dyDescent="0.45">
      <c r="A699" s="25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7"/>
    </row>
    <row r="700" spans="1:26" ht="14.25" x14ac:dyDescent="0.45">
      <c r="A700" s="2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7"/>
    </row>
    <row r="701" spans="1:26" ht="14.25" x14ac:dyDescent="0.45">
      <c r="A701" s="25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7"/>
    </row>
    <row r="702" spans="1:26" ht="14.25" x14ac:dyDescent="0.45">
      <c r="A702" s="2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7"/>
    </row>
    <row r="703" spans="1:26" ht="14.25" x14ac:dyDescent="0.45">
      <c r="A703" s="25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7"/>
    </row>
    <row r="704" spans="1:26" ht="14.25" x14ac:dyDescent="0.45">
      <c r="A704" s="25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7"/>
    </row>
    <row r="705" spans="1:26" ht="14.25" x14ac:dyDescent="0.45">
      <c r="A705" s="25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7"/>
    </row>
    <row r="706" spans="1:26" ht="14.25" x14ac:dyDescent="0.45">
      <c r="A706" s="25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7"/>
    </row>
    <row r="707" spans="1:26" ht="14.25" x14ac:dyDescent="0.45">
      <c r="A707" s="25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7"/>
    </row>
    <row r="708" spans="1:26" ht="14.25" x14ac:dyDescent="0.45">
      <c r="A708" s="25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7"/>
    </row>
    <row r="709" spans="1:26" ht="14.25" x14ac:dyDescent="0.45">
      <c r="A709" s="25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7"/>
    </row>
    <row r="710" spans="1:26" ht="14.25" x14ac:dyDescent="0.45">
      <c r="A710" s="2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</row>
    <row r="711" spans="1:26" ht="14.25" x14ac:dyDescent="0.45">
      <c r="A711" s="25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7"/>
    </row>
    <row r="712" spans="1:26" ht="14.25" x14ac:dyDescent="0.45">
      <c r="A712" s="25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7"/>
    </row>
    <row r="713" spans="1:26" ht="14.25" x14ac:dyDescent="0.45">
      <c r="A713" s="25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7"/>
    </row>
    <row r="714" spans="1:26" ht="14.25" x14ac:dyDescent="0.45">
      <c r="A714" s="25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7"/>
    </row>
    <row r="715" spans="1:26" ht="14.25" x14ac:dyDescent="0.45">
      <c r="A715" s="25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7"/>
    </row>
    <row r="716" spans="1:26" ht="14.25" x14ac:dyDescent="0.45">
      <c r="A716" s="25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7"/>
    </row>
    <row r="717" spans="1:26" ht="14.25" x14ac:dyDescent="0.45">
      <c r="A717" s="25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7"/>
    </row>
    <row r="718" spans="1:26" ht="14.25" x14ac:dyDescent="0.45">
      <c r="A718" s="25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7"/>
    </row>
    <row r="719" spans="1:26" ht="14.25" x14ac:dyDescent="0.45">
      <c r="A719" s="25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7"/>
    </row>
    <row r="720" spans="1:26" ht="14.25" x14ac:dyDescent="0.45">
      <c r="A720" s="25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7"/>
    </row>
    <row r="721" spans="1:26" ht="14.25" x14ac:dyDescent="0.45">
      <c r="A721" s="25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7"/>
    </row>
    <row r="722" spans="1:26" ht="14.25" x14ac:dyDescent="0.45">
      <c r="A722" s="25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7"/>
    </row>
    <row r="723" spans="1:26" ht="14.25" x14ac:dyDescent="0.45">
      <c r="A723" s="25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7"/>
    </row>
    <row r="724" spans="1:26" ht="14.25" x14ac:dyDescent="0.45">
      <c r="A724" s="25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7"/>
    </row>
    <row r="725" spans="1:26" ht="14.25" x14ac:dyDescent="0.45">
      <c r="A725" s="25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7"/>
    </row>
    <row r="726" spans="1:26" ht="14.25" x14ac:dyDescent="0.45">
      <c r="A726" s="25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7"/>
    </row>
    <row r="727" spans="1:26" ht="14.25" x14ac:dyDescent="0.45">
      <c r="A727" s="25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7"/>
    </row>
    <row r="728" spans="1:26" ht="14.25" x14ac:dyDescent="0.45">
      <c r="A728" s="25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7"/>
    </row>
    <row r="729" spans="1:26" ht="14.25" x14ac:dyDescent="0.45">
      <c r="A729" s="25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7"/>
    </row>
    <row r="730" spans="1:26" ht="14.25" x14ac:dyDescent="0.45">
      <c r="A730" s="25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7"/>
    </row>
    <row r="731" spans="1:26" ht="14.25" x14ac:dyDescent="0.45">
      <c r="A731" s="25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7"/>
    </row>
    <row r="732" spans="1:26" ht="14.25" x14ac:dyDescent="0.45">
      <c r="A732" s="25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7"/>
    </row>
    <row r="733" spans="1:26" ht="14.25" x14ac:dyDescent="0.45">
      <c r="A733" s="25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7"/>
    </row>
    <row r="734" spans="1:26" ht="14.25" x14ac:dyDescent="0.45">
      <c r="A734" s="25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7"/>
    </row>
    <row r="735" spans="1:26" ht="14.25" x14ac:dyDescent="0.45">
      <c r="A735" s="25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7"/>
    </row>
    <row r="736" spans="1:26" ht="14.25" x14ac:dyDescent="0.45">
      <c r="A736" s="25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7"/>
    </row>
    <row r="737" spans="1:26" ht="14.25" x14ac:dyDescent="0.45">
      <c r="A737" s="25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7"/>
    </row>
    <row r="738" spans="1:26" ht="14.25" x14ac:dyDescent="0.45">
      <c r="A738" s="25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7"/>
    </row>
    <row r="739" spans="1:26" ht="14.25" x14ac:dyDescent="0.45">
      <c r="A739" s="25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7"/>
    </row>
    <row r="740" spans="1:26" ht="14.25" x14ac:dyDescent="0.45">
      <c r="A740" s="25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7"/>
    </row>
    <row r="741" spans="1:26" ht="14.25" x14ac:dyDescent="0.45">
      <c r="A741" s="25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7"/>
    </row>
    <row r="742" spans="1:26" ht="14.25" x14ac:dyDescent="0.45">
      <c r="A742" s="25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7"/>
    </row>
    <row r="743" spans="1:26" ht="14.25" x14ac:dyDescent="0.45">
      <c r="A743" s="25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7"/>
    </row>
    <row r="744" spans="1:26" ht="14.25" x14ac:dyDescent="0.45">
      <c r="A744" s="25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7"/>
    </row>
    <row r="745" spans="1:26" ht="14.25" x14ac:dyDescent="0.45">
      <c r="A745" s="25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7"/>
    </row>
    <row r="746" spans="1:26" ht="14.25" x14ac:dyDescent="0.45">
      <c r="A746" s="25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7"/>
    </row>
    <row r="747" spans="1:26" ht="14.25" x14ac:dyDescent="0.45">
      <c r="A747" s="25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7"/>
    </row>
    <row r="748" spans="1:26" ht="14.25" x14ac:dyDescent="0.45">
      <c r="A748" s="25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</row>
    <row r="749" spans="1:26" ht="14.25" x14ac:dyDescent="0.45">
      <c r="A749" s="25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7"/>
    </row>
    <row r="750" spans="1:26" ht="14.25" x14ac:dyDescent="0.45">
      <c r="A750" s="25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7"/>
    </row>
    <row r="751" spans="1:26" ht="14.25" x14ac:dyDescent="0.45">
      <c r="A751" s="25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7"/>
    </row>
    <row r="752" spans="1:26" ht="14.25" x14ac:dyDescent="0.45">
      <c r="A752" s="25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7"/>
    </row>
    <row r="753" spans="1:26" ht="14.25" x14ac:dyDescent="0.45">
      <c r="A753" s="25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7"/>
    </row>
    <row r="754" spans="1:26" ht="14.25" x14ac:dyDescent="0.45">
      <c r="A754" s="2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7"/>
    </row>
    <row r="755" spans="1:26" ht="14.25" x14ac:dyDescent="0.45">
      <c r="A755" s="25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7"/>
    </row>
    <row r="756" spans="1:26" ht="14.25" x14ac:dyDescent="0.45">
      <c r="A756" s="25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7"/>
    </row>
    <row r="757" spans="1:26" ht="14.25" x14ac:dyDescent="0.45">
      <c r="A757" s="25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7"/>
    </row>
    <row r="758" spans="1:26" ht="14.25" x14ac:dyDescent="0.45">
      <c r="A758" s="25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7"/>
    </row>
    <row r="759" spans="1:26" ht="14.25" x14ac:dyDescent="0.45">
      <c r="A759" s="25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7"/>
    </row>
    <row r="760" spans="1:26" ht="14.25" x14ac:dyDescent="0.45">
      <c r="A760" s="2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7"/>
    </row>
    <row r="761" spans="1:26" ht="14.25" x14ac:dyDescent="0.45">
      <c r="A761" s="25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7"/>
    </row>
    <row r="762" spans="1:26" ht="14.25" x14ac:dyDescent="0.45">
      <c r="A762" s="25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7"/>
    </row>
    <row r="763" spans="1:26" ht="14.25" x14ac:dyDescent="0.45">
      <c r="A763" s="25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7"/>
    </row>
    <row r="764" spans="1:26" ht="14.25" x14ac:dyDescent="0.45">
      <c r="A764" s="25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7"/>
    </row>
    <row r="765" spans="1:26" ht="14.25" x14ac:dyDescent="0.45">
      <c r="A765" s="25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7"/>
    </row>
    <row r="766" spans="1:26" ht="14.25" x14ac:dyDescent="0.45">
      <c r="A766" s="25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7"/>
    </row>
    <row r="767" spans="1:26" ht="14.25" x14ac:dyDescent="0.45">
      <c r="A767" s="25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7"/>
    </row>
    <row r="768" spans="1:26" ht="14.25" x14ac:dyDescent="0.45">
      <c r="A768" s="25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7"/>
    </row>
    <row r="769" spans="1:26" ht="14.25" x14ac:dyDescent="0.45">
      <c r="A769" s="25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7"/>
    </row>
    <row r="770" spans="1:26" ht="14.25" x14ac:dyDescent="0.45">
      <c r="A770" s="25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7"/>
    </row>
    <row r="771" spans="1:26" ht="14.25" x14ac:dyDescent="0.45">
      <c r="A771" s="25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7"/>
    </row>
    <row r="772" spans="1:26" ht="14.25" x14ac:dyDescent="0.45">
      <c r="A772" s="25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7"/>
    </row>
    <row r="773" spans="1:26" ht="14.25" x14ac:dyDescent="0.45">
      <c r="A773" s="25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7"/>
    </row>
    <row r="774" spans="1:26" ht="14.25" x14ac:dyDescent="0.45">
      <c r="A774" s="25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7"/>
    </row>
    <row r="775" spans="1:26" ht="14.25" x14ac:dyDescent="0.45">
      <c r="A775" s="25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7"/>
    </row>
    <row r="776" spans="1:26" ht="14.25" x14ac:dyDescent="0.45">
      <c r="A776" s="25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7"/>
    </row>
    <row r="777" spans="1:26" ht="14.25" x14ac:dyDescent="0.45">
      <c r="A777" s="25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7"/>
    </row>
    <row r="778" spans="1:26" ht="14.25" x14ac:dyDescent="0.45">
      <c r="A778" s="25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7"/>
    </row>
    <row r="779" spans="1:26" ht="14.25" x14ac:dyDescent="0.45">
      <c r="A779" s="25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7"/>
    </row>
    <row r="780" spans="1:26" ht="14.25" x14ac:dyDescent="0.45">
      <c r="A780" s="25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7"/>
    </row>
    <row r="781" spans="1:26" ht="14.25" x14ac:dyDescent="0.45">
      <c r="A781" s="25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7"/>
    </row>
    <row r="782" spans="1:26" ht="14.25" x14ac:dyDescent="0.45">
      <c r="A782" s="25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7"/>
    </row>
    <row r="783" spans="1:26" ht="14.25" x14ac:dyDescent="0.45">
      <c r="A783" s="25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7"/>
    </row>
    <row r="784" spans="1:26" ht="14.25" x14ac:dyDescent="0.45">
      <c r="A784" s="25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7"/>
    </row>
    <row r="785" spans="1:26" ht="14.25" x14ac:dyDescent="0.45">
      <c r="A785" s="25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7"/>
    </row>
    <row r="786" spans="1:26" ht="14.25" x14ac:dyDescent="0.45">
      <c r="A786" s="25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</row>
    <row r="787" spans="1:26" ht="14.25" x14ac:dyDescent="0.45">
      <c r="A787" s="25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7"/>
    </row>
    <row r="788" spans="1:26" ht="14.25" x14ac:dyDescent="0.45">
      <c r="A788" s="25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7"/>
    </row>
    <row r="789" spans="1:26" ht="14.25" x14ac:dyDescent="0.45">
      <c r="A789" s="25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7"/>
    </row>
    <row r="790" spans="1:26" ht="14.25" x14ac:dyDescent="0.45">
      <c r="A790" s="25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7"/>
    </row>
    <row r="791" spans="1:26" ht="14.25" x14ac:dyDescent="0.45">
      <c r="A791" s="25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7"/>
    </row>
    <row r="792" spans="1:26" ht="14.25" x14ac:dyDescent="0.45">
      <c r="A792" s="25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7"/>
    </row>
    <row r="793" spans="1:26" ht="14.25" x14ac:dyDescent="0.45">
      <c r="A793" s="25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7"/>
    </row>
    <row r="794" spans="1:26" ht="14.25" x14ac:dyDescent="0.45">
      <c r="A794" s="25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7"/>
    </row>
    <row r="795" spans="1:26" ht="14.25" x14ac:dyDescent="0.45">
      <c r="A795" s="25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7"/>
    </row>
    <row r="796" spans="1:26" ht="14.25" x14ac:dyDescent="0.45">
      <c r="A796" s="25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7"/>
    </row>
    <row r="797" spans="1:26" ht="14.25" x14ac:dyDescent="0.45">
      <c r="A797" s="25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7"/>
    </row>
    <row r="798" spans="1:26" ht="14.25" x14ac:dyDescent="0.45">
      <c r="A798" s="25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7"/>
    </row>
    <row r="799" spans="1:26" ht="14.25" x14ac:dyDescent="0.45">
      <c r="A799" s="25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7"/>
    </row>
    <row r="800" spans="1:26" ht="14.25" x14ac:dyDescent="0.45">
      <c r="A800" s="25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7"/>
    </row>
    <row r="801" spans="1:26" ht="14.25" x14ac:dyDescent="0.45">
      <c r="A801" s="25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7"/>
    </row>
    <row r="802" spans="1:26" ht="14.25" x14ac:dyDescent="0.45">
      <c r="A802" s="25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7"/>
    </row>
    <row r="803" spans="1:26" ht="14.25" x14ac:dyDescent="0.45">
      <c r="A803" s="25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7"/>
    </row>
    <row r="804" spans="1:26" ht="14.25" x14ac:dyDescent="0.45">
      <c r="A804" s="25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7"/>
    </row>
    <row r="805" spans="1:26" ht="14.25" x14ac:dyDescent="0.45">
      <c r="A805" s="25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7"/>
    </row>
    <row r="806" spans="1:26" ht="14.25" x14ac:dyDescent="0.45">
      <c r="A806" s="25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7"/>
    </row>
    <row r="807" spans="1:26" ht="14.25" x14ac:dyDescent="0.45">
      <c r="A807" s="25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7"/>
    </row>
    <row r="808" spans="1:26" ht="14.25" x14ac:dyDescent="0.45">
      <c r="A808" s="25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7"/>
    </row>
    <row r="809" spans="1:26" ht="14.25" x14ac:dyDescent="0.45">
      <c r="A809" s="25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7"/>
    </row>
    <row r="810" spans="1:26" ht="14.25" x14ac:dyDescent="0.45">
      <c r="A810" s="25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7"/>
    </row>
    <row r="811" spans="1:26" ht="14.25" x14ac:dyDescent="0.45">
      <c r="A811" s="25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7"/>
    </row>
    <row r="812" spans="1:26" ht="14.25" x14ac:dyDescent="0.45">
      <c r="A812" s="25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7"/>
    </row>
    <row r="813" spans="1:26" ht="14.25" x14ac:dyDescent="0.45">
      <c r="A813" s="25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7"/>
    </row>
    <row r="814" spans="1:26" ht="14.25" x14ac:dyDescent="0.45">
      <c r="A814" s="25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7"/>
    </row>
    <row r="815" spans="1:26" ht="14.25" x14ac:dyDescent="0.45">
      <c r="A815" s="25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7"/>
    </row>
    <row r="816" spans="1:26" ht="14.25" x14ac:dyDescent="0.45">
      <c r="A816" s="25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7"/>
    </row>
    <row r="817" spans="1:26" ht="14.25" x14ac:dyDescent="0.45">
      <c r="A817" s="25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7"/>
    </row>
    <row r="818" spans="1:26" ht="14.25" x14ac:dyDescent="0.45">
      <c r="A818" s="25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7"/>
    </row>
    <row r="819" spans="1:26" ht="14.25" x14ac:dyDescent="0.45">
      <c r="A819" s="25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7"/>
    </row>
    <row r="820" spans="1:26" ht="14.25" x14ac:dyDescent="0.45">
      <c r="A820" s="25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7"/>
    </row>
    <row r="821" spans="1:26" ht="14.25" x14ac:dyDescent="0.45">
      <c r="A821" s="25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7"/>
    </row>
    <row r="822" spans="1:26" ht="14.25" x14ac:dyDescent="0.45">
      <c r="A822" s="25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7"/>
    </row>
    <row r="823" spans="1:26" ht="14.25" x14ac:dyDescent="0.45">
      <c r="A823" s="25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7"/>
    </row>
    <row r="824" spans="1:26" ht="14.25" x14ac:dyDescent="0.45">
      <c r="A824" s="25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</row>
    <row r="825" spans="1:26" ht="14.25" x14ac:dyDescent="0.45">
      <c r="A825" s="25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7"/>
    </row>
    <row r="826" spans="1:26" ht="14.25" x14ac:dyDescent="0.45">
      <c r="A826" s="25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7"/>
    </row>
    <row r="827" spans="1:26" ht="14.25" x14ac:dyDescent="0.45">
      <c r="A827" s="25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7"/>
    </row>
    <row r="828" spans="1:26" ht="14.25" x14ac:dyDescent="0.45">
      <c r="A828" s="25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7"/>
    </row>
    <row r="829" spans="1:26" ht="14.25" x14ac:dyDescent="0.45">
      <c r="A829" s="25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7"/>
    </row>
    <row r="830" spans="1:26" ht="14.25" x14ac:dyDescent="0.45">
      <c r="A830" s="25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7"/>
    </row>
    <row r="831" spans="1:26" ht="14.25" x14ac:dyDescent="0.45">
      <c r="A831" s="25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7"/>
    </row>
    <row r="832" spans="1:26" ht="14.25" x14ac:dyDescent="0.45">
      <c r="A832" s="25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7"/>
    </row>
    <row r="833" spans="1:26" ht="14.25" x14ac:dyDescent="0.45">
      <c r="A833" s="25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7"/>
    </row>
    <row r="834" spans="1:26" ht="14.25" x14ac:dyDescent="0.45">
      <c r="A834" s="25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7"/>
    </row>
    <row r="835" spans="1:26" ht="14.25" x14ac:dyDescent="0.45">
      <c r="A835" s="25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7"/>
    </row>
    <row r="836" spans="1:26" ht="14.25" x14ac:dyDescent="0.45">
      <c r="A836" s="25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7"/>
    </row>
    <row r="837" spans="1:26" ht="14.25" x14ac:dyDescent="0.45">
      <c r="A837" s="25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7"/>
    </row>
    <row r="838" spans="1:26" ht="14.25" x14ac:dyDescent="0.45">
      <c r="A838" s="25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7"/>
    </row>
    <row r="839" spans="1:26" ht="14.25" x14ac:dyDescent="0.45">
      <c r="A839" s="25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7"/>
    </row>
    <row r="840" spans="1:26" ht="14.25" x14ac:dyDescent="0.45">
      <c r="A840" s="25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7"/>
    </row>
    <row r="841" spans="1:26" ht="14.25" x14ac:dyDescent="0.45">
      <c r="A841" s="25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7"/>
    </row>
    <row r="842" spans="1:26" ht="14.25" x14ac:dyDescent="0.45">
      <c r="A842" s="25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7"/>
    </row>
    <row r="843" spans="1:26" ht="14.25" x14ac:dyDescent="0.45">
      <c r="A843" s="25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7"/>
    </row>
    <row r="844" spans="1:26" ht="14.25" x14ac:dyDescent="0.45">
      <c r="A844" s="25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7"/>
    </row>
    <row r="845" spans="1:26" ht="14.25" x14ac:dyDescent="0.45">
      <c r="A845" s="25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7"/>
    </row>
    <row r="846" spans="1:26" ht="14.25" x14ac:dyDescent="0.45">
      <c r="A846" s="25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7"/>
    </row>
    <row r="847" spans="1:26" ht="14.25" x14ac:dyDescent="0.45">
      <c r="A847" s="25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7"/>
    </row>
    <row r="848" spans="1:26" ht="14.25" x14ac:dyDescent="0.45">
      <c r="A848" s="25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7"/>
    </row>
    <row r="849" spans="1:26" ht="14.25" x14ac:dyDescent="0.45">
      <c r="A849" s="25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7"/>
    </row>
    <row r="850" spans="1:26" ht="14.25" x14ac:dyDescent="0.45">
      <c r="A850" s="25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7"/>
    </row>
    <row r="851" spans="1:26" ht="14.25" x14ac:dyDescent="0.45">
      <c r="A851" s="25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7"/>
    </row>
    <row r="852" spans="1:26" ht="14.25" x14ac:dyDescent="0.45">
      <c r="A852" s="25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7"/>
    </row>
    <row r="853" spans="1:26" ht="14.25" x14ac:dyDescent="0.45">
      <c r="A853" s="25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7"/>
    </row>
    <row r="854" spans="1:26" ht="14.25" x14ac:dyDescent="0.45">
      <c r="A854" s="2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7"/>
    </row>
    <row r="855" spans="1:26" ht="14.25" x14ac:dyDescent="0.45">
      <c r="A855" s="25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7"/>
    </row>
    <row r="856" spans="1:26" ht="14.25" x14ac:dyDescent="0.45">
      <c r="A856" s="25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7"/>
    </row>
    <row r="857" spans="1:26" ht="14.25" x14ac:dyDescent="0.45">
      <c r="A857" s="25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7"/>
    </row>
    <row r="858" spans="1:26" ht="14.25" x14ac:dyDescent="0.45">
      <c r="A858" s="25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7"/>
    </row>
    <row r="859" spans="1:26" ht="14.25" x14ac:dyDescent="0.45">
      <c r="A859" s="25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7"/>
    </row>
    <row r="860" spans="1:26" ht="14.25" x14ac:dyDescent="0.45">
      <c r="A860" s="25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7"/>
    </row>
    <row r="861" spans="1:26" ht="14.25" x14ac:dyDescent="0.45">
      <c r="A861" s="25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7"/>
    </row>
    <row r="862" spans="1:26" ht="14.25" x14ac:dyDescent="0.45">
      <c r="A862" s="2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</row>
    <row r="863" spans="1:26" ht="14.25" x14ac:dyDescent="0.45">
      <c r="A863" s="25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7"/>
    </row>
    <row r="864" spans="1:26" ht="14.25" x14ac:dyDescent="0.45">
      <c r="A864" s="25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7"/>
    </row>
    <row r="865" spans="1:26" ht="14.25" x14ac:dyDescent="0.45">
      <c r="A865" s="25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7"/>
    </row>
    <row r="866" spans="1:26" ht="14.25" x14ac:dyDescent="0.45">
      <c r="A866" s="2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7"/>
    </row>
    <row r="867" spans="1:26" ht="14.25" x14ac:dyDescent="0.45">
      <c r="A867" s="25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7"/>
    </row>
    <row r="868" spans="1:26" ht="14.25" x14ac:dyDescent="0.45">
      <c r="A868" s="2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7"/>
    </row>
    <row r="869" spans="1:26" ht="14.25" x14ac:dyDescent="0.45">
      <c r="A869" s="25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7"/>
    </row>
    <row r="870" spans="1:26" ht="14.25" x14ac:dyDescent="0.45">
      <c r="A870" s="2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7"/>
    </row>
    <row r="871" spans="1:26" ht="14.25" x14ac:dyDescent="0.45">
      <c r="A871" s="25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7"/>
    </row>
    <row r="872" spans="1:26" ht="14.25" x14ac:dyDescent="0.45">
      <c r="A872" s="25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7"/>
    </row>
    <row r="873" spans="1:26" ht="14.25" x14ac:dyDescent="0.45">
      <c r="A873" s="25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7"/>
    </row>
    <row r="874" spans="1:26" ht="14.25" x14ac:dyDescent="0.45">
      <c r="A874" s="2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7"/>
    </row>
    <row r="875" spans="1:26" ht="14.25" x14ac:dyDescent="0.45">
      <c r="A875" s="25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7"/>
    </row>
    <row r="876" spans="1:26" ht="14.25" x14ac:dyDescent="0.45">
      <c r="A876" s="25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7"/>
    </row>
    <row r="877" spans="1:26" ht="14.25" x14ac:dyDescent="0.45">
      <c r="A877" s="25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7"/>
    </row>
    <row r="878" spans="1:26" ht="14.25" x14ac:dyDescent="0.45">
      <c r="A878" s="2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7"/>
    </row>
    <row r="879" spans="1:26" ht="14.25" x14ac:dyDescent="0.45">
      <c r="A879" s="25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7"/>
    </row>
    <row r="880" spans="1:26" ht="14.25" x14ac:dyDescent="0.45">
      <c r="A880" s="25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7"/>
    </row>
    <row r="881" spans="1:26" ht="14.25" x14ac:dyDescent="0.45">
      <c r="A881" s="25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7"/>
    </row>
    <row r="882" spans="1:26" ht="14.25" x14ac:dyDescent="0.45">
      <c r="A882" s="2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7"/>
    </row>
    <row r="883" spans="1:26" ht="14.25" x14ac:dyDescent="0.45">
      <c r="A883" s="25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7"/>
    </row>
    <row r="884" spans="1:26" ht="14.25" x14ac:dyDescent="0.45">
      <c r="A884" s="25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7"/>
    </row>
    <row r="885" spans="1:26" ht="14.25" x14ac:dyDescent="0.45">
      <c r="A885" s="25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7"/>
    </row>
    <row r="886" spans="1:26" ht="14.25" x14ac:dyDescent="0.45">
      <c r="A886" s="2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7"/>
    </row>
    <row r="887" spans="1:26" ht="14.25" x14ac:dyDescent="0.45">
      <c r="A887" s="25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7"/>
    </row>
    <row r="888" spans="1:26" ht="14.25" x14ac:dyDescent="0.45">
      <c r="A888" s="25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7"/>
    </row>
    <row r="889" spans="1:26" ht="14.25" x14ac:dyDescent="0.45">
      <c r="A889" s="25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7"/>
    </row>
    <row r="890" spans="1:26" ht="14.25" x14ac:dyDescent="0.45">
      <c r="A890" s="25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7"/>
    </row>
    <row r="891" spans="1:26" ht="14.25" x14ac:dyDescent="0.45">
      <c r="A891" s="25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7"/>
    </row>
    <row r="892" spans="1:26" ht="14.25" x14ac:dyDescent="0.45">
      <c r="A892" s="25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7"/>
    </row>
    <row r="893" spans="1:26" ht="14.25" x14ac:dyDescent="0.45">
      <c r="A893" s="25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7"/>
    </row>
    <row r="894" spans="1:26" ht="14.25" x14ac:dyDescent="0.45">
      <c r="A894" s="25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7"/>
    </row>
    <row r="895" spans="1:26" ht="14.25" x14ac:dyDescent="0.45">
      <c r="A895" s="25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7"/>
    </row>
    <row r="896" spans="1:26" ht="14.25" x14ac:dyDescent="0.45">
      <c r="A896" s="25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7"/>
    </row>
    <row r="897" spans="1:26" ht="14.25" x14ac:dyDescent="0.45">
      <c r="A897" s="25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7"/>
    </row>
    <row r="898" spans="1:26" ht="14.25" x14ac:dyDescent="0.45">
      <c r="A898" s="25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7"/>
    </row>
    <row r="899" spans="1:26" ht="14.25" x14ac:dyDescent="0.45">
      <c r="A899" s="25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7"/>
    </row>
    <row r="900" spans="1:26" ht="14.25" x14ac:dyDescent="0.45">
      <c r="A900" s="25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</row>
    <row r="901" spans="1:26" ht="14.25" x14ac:dyDescent="0.45">
      <c r="A901" s="25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7"/>
    </row>
    <row r="902" spans="1:26" ht="14.25" x14ac:dyDescent="0.45">
      <c r="A902" s="2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7"/>
    </row>
    <row r="903" spans="1:26" ht="14.25" x14ac:dyDescent="0.45">
      <c r="A903" s="25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7"/>
    </row>
    <row r="904" spans="1:26" ht="14.25" x14ac:dyDescent="0.45">
      <c r="A904" s="25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7"/>
    </row>
    <row r="905" spans="1:26" ht="14.25" x14ac:dyDescent="0.45">
      <c r="A905" s="25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7"/>
    </row>
    <row r="906" spans="1:26" ht="14.25" x14ac:dyDescent="0.45">
      <c r="A906" s="2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7"/>
    </row>
    <row r="907" spans="1:26" ht="14.25" x14ac:dyDescent="0.45">
      <c r="A907" s="25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7"/>
    </row>
    <row r="908" spans="1:26" ht="14.25" x14ac:dyDescent="0.45">
      <c r="A908" s="25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7"/>
    </row>
    <row r="909" spans="1:26" ht="14.25" x14ac:dyDescent="0.45">
      <c r="A909" s="25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7"/>
    </row>
    <row r="910" spans="1:26" ht="14.25" x14ac:dyDescent="0.45">
      <c r="A910" s="2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7"/>
    </row>
    <row r="911" spans="1:26" ht="14.25" x14ac:dyDescent="0.45">
      <c r="A911" s="25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7"/>
    </row>
    <row r="912" spans="1:26" ht="14.25" x14ac:dyDescent="0.45">
      <c r="A912" s="25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7"/>
    </row>
    <row r="913" spans="1:26" ht="14.25" x14ac:dyDescent="0.45">
      <c r="A913" s="25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7"/>
    </row>
    <row r="914" spans="1:26" ht="14.25" x14ac:dyDescent="0.45">
      <c r="A914" s="25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7"/>
    </row>
    <row r="915" spans="1:26" ht="14.25" x14ac:dyDescent="0.45">
      <c r="A915" s="25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7"/>
    </row>
    <row r="916" spans="1:26" ht="14.25" x14ac:dyDescent="0.45">
      <c r="A916" s="2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7"/>
    </row>
    <row r="917" spans="1:26" ht="14.25" x14ac:dyDescent="0.45">
      <c r="A917" s="25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7"/>
    </row>
    <row r="918" spans="1:26" ht="14.25" x14ac:dyDescent="0.45">
      <c r="A918" s="25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7"/>
    </row>
    <row r="919" spans="1:26" ht="14.25" x14ac:dyDescent="0.45">
      <c r="A919" s="25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7"/>
    </row>
    <row r="920" spans="1:26" ht="14.25" x14ac:dyDescent="0.45">
      <c r="A920" s="2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7"/>
    </row>
    <row r="921" spans="1:26" ht="14.25" x14ac:dyDescent="0.45">
      <c r="A921" s="25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7"/>
    </row>
    <row r="922" spans="1:26" ht="14.25" x14ac:dyDescent="0.45">
      <c r="A922" s="25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7"/>
    </row>
    <row r="923" spans="1:26" ht="14.25" x14ac:dyDescent="0.45">
      <c r="A923" s="25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7"/>
    </row>
    <row r="924" spans="1:26" ht="14.25" x14ac:dyDescent="0.45">
      <c r="A924" s="25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7"/>
    </row>
    <row r="925" spans="1:26" ht="14.25" x14ac:dyDescent="0.45">
      <c r="A925" s="25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7"/>
    </row>
    <row r="926" spans="1:26" ht="14.25" x14ac:dyDescent="0.45">
      <c r="A926" s="2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7"/>
    </row>
    <row r="927" spans="1:26" ht="14.25" x14ac:dyDescent="0.45">
      <c r="A927" s="25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7"/>
    </row>
    <row r="928" spans="1:26" ht="14.25" x14ac:dyDescent="0.45">
      <c r="A928" s="25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7"/>
    </row>
    <row r="929" spans="1:26" ht="14.25" x14ac:dyDescent="0.45">
      <c r="A929" s="25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7"/>
    </row>
    <row r="930" spans="1:26" ht="14.25" x14ac:dyDescent="0.45">
      <c r="A930" s="25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7"/>
    </row>
    <row r="931" spans="1:26" ht="14.25" x14ac:dyDescent="0.45">
      <c r="A931" s="25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7"/>
    </row>
    <row r="932" spans="1:26" ht="14.25" x14ac:dyDescent="0.45">
      <c r="A932" s="25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7"/>
    </row>
    <row r="933" spans="1:26" ht="14.25" x14ac:dyDescent="0.45">
      <c r="A933" s="2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7"/>
    </row>
    <row r="934" spans="1:26" ht="14.25" x14ac:dyDescent="0.45">
      <c r="A934" s="25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7"/>
    </row>
    <row r="935" spans="1:26" ht="14.25" x14ac:dyDescent="0.45">
      <c r="A935" s="25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7"/>
    </row>
    <row r="936" spans="1:26" ht="14.25" x14ac:dyDescent="0.45">
      <c r="A936" s="25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7"/>
    </row>
    <row r="937" spans="1:26" ht="14.25" x14ac:dyDescent="0.45">
      <c r="A937" s="25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7"/>
    </row>
    <row r="938" spans="1:26" ht="14.25" x14ac:dyDescent="0.45">
      <c r="A938" s="2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</row>
    <row r="939" spans="1:26" ht="14.25" x14ac:dyDescent="0.45">
      <c r="A939" s="25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7"/>
    </row>
    <row r="940" spans="1:26" ht="14.25" x14ac:dyDescent="0.45">
      <c r="A940" s="25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7"/>
    </row>
    <row r="941" spans="1:26" ht="14.25" x14ac:dyDescent="0.45">
      <c r="A941" s="25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7"/>
    </row>
    <row r="942" spans="1:26" ht="14.25" x14ac:dyDescent="0.45">
      <c r="A942" s="25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7"/>
    </row>
    <row r="943" spans="1:26" ht="14.25" x14ac:dyDescent="0.45">
      <c r="A943" s="25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7"/>
    </row>
    <row r="944" spans="1:26" ht="14.25" x14ac:dyDescent="0.45">
      <c r="A944" s="25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7"/>
    </row>
    <row r="945" spans="1:26" ht="14.25" x14ac:dyDescent="0.45">
      <c r="A945" s="25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7"/>
    </row>
    <row r="946" spans="1:26" ht="14.25" x14ac:dyDescent="0.45">
      <c r="A946" s="25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7"/>
    </row>
    <row r="947" spans="1:26" ht="14.25" x14ac:dyDescent="0.45">
      <c r="A947" s="25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7"/>
    </row>
    <row r="948" spans="1:26" ht="14.25" x14ac:dyDescent="0.45">
      <c r="A948" s="25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7"/>
    </row>
    <row r="949" spans="1:26" ht="14.25" x14ac:dyDescent="0.45">
      <c r="A949" s="25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7"/>
    </row>
    <row r="950" spans="1:26" ht="14.25" x14ac:dyDescent="0.45">
      <c r="A950" s="25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7"/>
    </row>
    <row r="951" spans="1:26" ht="14.25" x14ac:dyDescent="0.45">
      <c r="A951" s="25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7"/>
    </row>
    <row r="952" spans="1:26" ht="14.25" x14ac:dyDescent="0.45">
      <c r="A952" s="2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7"/>
    </row>
    <row r="953" spans="1:26" ht="14.25" x14ac:dyDescent="0.45">
      <c r="A953" s="25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7"/>
    </row>
    <row r="954" spans="1:26" ht="14.25" x14ac:dyDescent="0.45">
      <c r="A954" s="25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7"/>
    </row>
    <row r="955" spans="1:26" ht="14.25" x14ac:dyDescent="0.45">
      <c r="A955" s="25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7"/>
    </row>
    <row r="956" spans="1:26" ht="14.25" x14ac:dyDescent="0.45">
      <c r="A956" s="2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7"/>
    </row>
    <row r="957" spans="1:26" ht="14.25" x14ac:dyDescent="0.45">
      <c r="A957" s="25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7"/>
    </row>
    <row r="958" spans="1:26" ht="14.25" x14ac:dyDescent="0.45">
      <c r="A958" s="25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7"/>
    </row>
    <row r="959" spans="1:26" ht="14.25" x14ac:dyDescent="0.45">
      <c r="A959" s="25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7"/>
    </row>
    <row r="960" spans="1:26" ht="14.25" x14ac:dyDescent="0.45">
      <c r="A960" s="2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7"/>
    </row>
    <row r="961" spans="1:26" ht="14.25" x14ac:dyDescent="0.45">
      <c r="A961" s="25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7"/>
    </row>
    <row r="962" spans="1:26" ht="14.25" x14ac:dyDescent="0.45">
      <c r="A962" s="25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7"/>
    </row>
    <row r="963" spans="1:26" ht="14.25" x14ac:dyDescent="0.45">
      <c r="A963" s="25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7"/>
    </row>
    <row r="964" spans="1:26" ht="14.25" x14ac:dyDescent="0.45">
      <c r="A964" s="25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7"/>
    </row>
    <row r="965" spans="1:26" ht="14.25" x14ac:dyDescent="0.45">
      <c r="A965" s="25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7"/>
    </row>
    <row r="966" spans="1:26" ht="14.25" x14ac:dyDescent="0.45">
      <c r="A966" s="25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7"/>
    </row>
    <row r="967" spans="1:26" ht="14.25" x14ac:dyDescent="0.45">
      <c r="A967" s="25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7"/>
    </row>
    <row r="968" spans="1:26" ht="14.25" x14ac:dyDescent="0.45">
      <c r="A968" s="25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7"/>
    </row>
    <row r="969" spans="1:26" ht="14.25" x14ac:dyDescent="0.45">
      <c r="A969" s="25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7"/>
    </row>
    <row r="970" spans="1:26" ht="14.25" x14ac:dyDescent="0.45">
      <c r="A970" s="25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7"/>
    </row>
    <row r="971" spans="1:26" ht="14.25" x14ac:dyDescent="0.45">
      <c r="A971" s="25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7"/>
    </row>
    <row r="972" spans="1:26" ht="14.25" x14ac:dyDescent="0.45">
      <c r="A972" s="25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7"/>
    </row>
    <row r="973" spans="1:26" ht="14.25" x14ac:dyDescent="0.45">
      <c r="A973" s="25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7"/>
    </row>
    <row r="974" spans="1:26" ht="14.25" x14ac:dyDescent="0.45">
      <c r="A974" s="25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7"/>
    </row>
    <row r="975" spans="1:26" ht="14.25" x14ac:dyDescent="0.45">
      <c r="A975" s="25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7"/>
    </row>
    <row r="976" spans="1:26" ht="14.25" x14ac:dyDescent="0.45">
      <c r="A976" s="25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</row>
    <row r="977" spans="1:26" ht="14.25" x14ac:dyDescent="0.45">
      <c r="A977" s="25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7"/>
    </row>
    <row r="978" spans="1:26" ht="14.25" x14ac:dyDescent="0.45">
      <c r="A978" s="25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7"/>
    </row>
    <row r="979" spans="1:26" ht="14.25" x14ac:dyDescent="0.45">
      <c r="A979" s="25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7"/>
    </row>
    <row r="980" spans="1:26" ht="14.25" x14ac:dyDescent="0.45">
      <c r="A980" s="25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7"/>
    </row>
    <row r="981" spans="1:26" ht="14.25" x14ac:dyDescent="0.45">
      <c r="A981" s="2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7"/>
    </row>
    <row r="982" spans="1:26" ht="14.25" x14ac:dyDescent="0.45">
      <c r="A982" s="25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7"/>
    </row>
    <row r="983" spans="1:26" ht="14.25" x14ac:dyDescent="0.45">
      <c r="A983" s="25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7"/>
    </row>
    <row r="984" spans="1:26" ht="14.25" x14ac:dyDescent="0.45">
      <c r="A984" s="2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7"/>
    </row>
    <row r="985" spans="1:26" ht="14.25" x14ac:dyDescent="0.45">
      <c r="A985" s="25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7"/>
    </row>
    <row r="986" spans="1:26" ht="14.25" x14ac:dyDescent="0.45">
      <c r="A986" s="25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7"/>
    </row>
    <row r="987" spans="1:26" ht="14.25" x14ac:dyDescent="0.45">
      <c r="A987" s="25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7"/>
    </row>
    <row r="988" spans="1:26" ht="14.25" x14ac:dyDescent="0.45">
      <c r="A988" s="25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7"/>
    </row>
    <row r="989" spans="1:26" ht="14.25" x14ac:dyDescent="0.45">
      <c r="A989" s="25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7"/>
    </row>
    <row r="990" spans="1:26" ht="14.25" x14ac:dyDescent="0.45">
      <c r="A990" s="25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7"/>
    </row>
    <row r="991" spans="1:26" ht="14.25" x14ac:dyDescent="0.45">
      <c r="A991" s="25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7"/>
    </row>
    <row r="992" spans="1:26" ht="14.25" x14ac:dyDescent="0.45">
      <c r="A992" s="25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7"/>
    </row>
    <row r="993" spans="1:26" ht="14.25" x14ac:dyDescent="0.45">
      <c r="A993" s="25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7"/>
    </row>
    <row r="994" spans="1:26" ht="14.25" x14ac:dyDescent="0.45">
      <c r="A994" s="25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7"/>
    </row>
    <row r="995" spans="1:26" ht="14.25" x14ac:dyDescent="0.45">
      <c r="A995" s="25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7"/>
    </row>
    <row r="996" spans="1:26" ht="14.25" x14ac:dyDescent="0.45">
      <c r="A996" s="25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7"/>
    </row>
    <row r="997" spans="1:26" ht="14.25" x14ac:dyDescent="0.45">
      <c r="A997" s="25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7"/>
    </row>
    <row r="998" spans="1:26" ht="14.25" x14ac:dyDescent="0.45">
      <c r="A998" s="25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7"/>
    </row>
    <row r="999" spans="1:26" ht="14.25" x14ac:dyDescent="0.45">
      <c r="A999" s="25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7"/>
    </row>
    <row r="1000" spans="1:26" ht="14.25" x14ac:dyDescent="0.45">
      <c r="A1000" s="28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opLeftCell="A42" workbookViewId="0">
      <selection activeCell="H29" sqref="H29"/>
    </sheetView>
  </sheetViews>
  <sheetFormatPr defaultColWidth="12.59765625" defaultRowHeight="15.75" customHeight="1" x14ac:dyDescent="0.35"/>
  <cols>
    <col min="4" max="4" width="20.59765625" customWidth="1"/>
  </cols>
  <sheetData>
    <row r="1" spans="1:26" ht="15.75" customHeight="1" x14ac:dyDescent="0.45">
      <c r="A1" s="17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5.75" customHeight="1" x14ac:dyDescent="0.45">
      <c r="A2" s="4"/>
      <c r="B2" s="5"/>
      <c r="C2" s="15"/>
      <c r="D2" s="15"/>
      <c r="E2" s="15"/>
      <c r="F2" s="15"/>
      <c r="G2" s="15"/>
      <c r="H2" s="1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ht="15.75" customHeight="1" x14ac:dyDescent="0.45">
      <c r="A3" s="4"/>
      <c r="B3" s="6"/>
      <c r="C3" s="35" t="s">
        <v>19</v>
      </c>
      <c r="D3" s="36"/>
      <c r="E3" s="36"/>
      <c r="F3" s="36"/>
      <c r="G3" s="36"/>
      <c r="H3" s="3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ht="15.75" customHeight="1" x14ac:dyDescent="0.45">
      <c r="A4" s="4"/>
      <c r="B4" s="6"/>
      <c r="C4" s="36"/>
      <c r="D4" s="36"/>
      <c r="E4" s="36"/>
      <c r="F4" s="36"/>
      <c r="G4" s="36"/>
      <c r="H4" s="36"/>
      <c r="I4" s="5"/>
      <c r="J4" s="10">
        <v>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ht="15.75" customHeight="1" x14ac:dyDescent="0.4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ht="15.75" customHeight="1" x14ac:dyDescent="0.55000000000000004">
      <c r="A6" s="4"/>
      <c r="B6" s="5"/>
      <c r="C6" s="31" t="s">
        <v>20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ht="15.75" customHeight="1" x14ac:dyDescent="0.45">
      <c r="A7" s="4"/>
      <c r="B7" s="5"/>
      <c r="C7" s="15"/>
      <c r="D7" s="15"/>
      <c r="E7" s="15"/>
      <c r="F7" s="15"/>
      <c r="G7" s="1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ht="15.75" customHeight="1" x14ac:dyDescent="0.45">
      <c r="A8" s="4"/>
      <c r="B8" s="6"/>
      <c r="C8" s="32" t="s">
        <v>21</v>
      </c>
      <c r="D8" s="32" t="s">
        <v>22</v>
      </c>
      <c r="E8" s="32" t="s">
        <v>23</v>
      </c>
      <c r="F8" s="19" t="s">
        <v>24</v>
      </c>
      <c r="G8" s="19" t="s">
        <v>25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ht="15.75" customHeight="1" x14ac:dyDescent="0.45">
      <c r="A9" s="4"/>
      <c r="B9" s="6"/>
      <c r="C9" s="33" t="s">
        <v>26</v>
      </c>
      <c r="D9" s="33" t="s">
        <v>27</v>
      </c>
      <c r="E9" s="33" t="s">
        <v>28</v>
      </c>
      <c r="F9" s="22" t="str">
        <f>CONCATENATE(D9,E9)</f>
        <v>JohnSmith</v>
      </c>
      <c r="G9" s="22" t="str">
        <f>CONCATENATE(D9,"-",E9)</f>
        <v>John-Smith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ht="15.75" customHeight="1" x14ac:dyDescent="0.45">
      <c r="A10" s="4"/>
      <c r="B10" s="6"/>
      <c r="C10" s="33" t="s">
        <v>29</v>
      </c>
      <c r="D10" s="33" t="s">
        <v>30</v>
      </c>
      <c r="E10" s="33" t="s">
        <v>31</v>
      </c>
      <c r="F10" s="22" t="str">
        <f t="shared" ref="F10:F11" si="0">CONCATENATE(D10,E10)</f>
        <v>JaneDoe</v>
      </c>
      <c r="G10" s="22" t="str">
        <f t="shared" ref="G10:G11" si="1">CONCATENATE(D10,"-",E10)</f>
        <v>Jane-Doe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ht="15.75" customHeight="1" x14ac:dyDescent="0.45">
      <c r="A11" s="4"/>
      <c r="B11" s="6"/>
      <c r="C11" s="33" t="s">
        <v>32</v>
      </c>
      <c r="D11" s="33" t="s">
        <v>33</v>
      </c>
      <c r="E11" s="33" t="s">
        <v>34</v>
      </c>
      <c r="F11" s="22" t="str">
        <f t="shared" si="0"/>
        <v>BobJohnson</v>
      </c>
      <c r="G11" s="22" t="str">
        <f t="shared" si="1"/>
        <v>Bob-Johnson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15.75" customHeight="1" x14ac:dyDescent="0.4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ht="15.75" customHeight="1" x14ac:dyDescent="0.4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ht="15.75" customHeight="1" x14ac:dyDescent="0.45">
      <c r="A14" s="4"/>
      <c r="B14" s="5"/>
      <c r="C14" s="15"/>
      <c r="D14" s="15"/>
      <c r="E14" s="15"/>
      <c r="F14" s="5"/>
      <c r="G14" s="15"/>
      <c r="H14" s="15"/>
      <c r="I14" s="15"/>
      <c r="J14" s="15"/>
      <c r="K14" s="1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ht="15.75" customHeight="1" x14ac:dyDescent="0.45">
      <c r="A15" s="4"/>
      <c r="B15" s="6"/>
      <c r="C15" s="35" t="s">
        <v>35</v>
      </c>
      <c r="D15" s="36"/>
      <c r="E15" s="36"/>
      <c r="F15" s="6"/>
      <c r="G15" s="35" t="s">
        <v>36</v>
      </c>
      <c r="H15" s="36"/>
      <c r="I15" s="36"/>
      <c r="J15" s="36"/>
      <c r="K15" s="36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ht="15.75" customHeight="1" x14ac:dyDescent="0.45">
      <c r="A16" s="4"/>
      <c r="B16" s="6"/>
      <c r="C16" s="36"/>
      <c r="D16" s="36"/>
      <c r="E16" s="36"/>
      <c r="F16" s="6"/>
      <c r="G16" s="36"/>
      <c r="H16" s="36"/>
      <c r="I16" s="36"/>
      <c r="J16" s="36"/>
      <c r="K16" s="36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ht="15.75" customHeight="1" x14ac:dyDescent="0.45">
      <c r="A17" s="4"/>
      <c r="B17" s="6"/>
      <c r="C17" s="36"/>
      <c r="D17" s="36"/>
      <c r="E17" s="36"/>
      <c r="F17" s="6"/>
      <c r="G17" s="36"/>
      <c r="H17" s="36"/>
      <c r="I17" s="36"/>
      <c r="J17" s="36"/>
      <c r="K17" s="3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ht="15.75" customHeight="1" x14ac:dyDescent="0.4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ht="15.75" customHeight="1" x14ac:dyDescent="0.5">
      <c r="A19" s="4"/>
      <c r="B19" s="5"/>
      <c r="C19" s="34" t="s">
        <v>37</v>
      </c>
      <c r="D19" s="5"/>
      <c r="E19" s="5"/>
      <c r="F19" s="5"/>
      <c r="G19" s="5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ht="15.75" customHeight="1" x14ac:dyDescent="0.45">
      <c r="A20" s="4"/>
      <c r="B20" s="5"/>
      <c r="C20" s="5"/>
      <c r="D20" s="15"/>
      <c r="E20" s="5"/>
      <c r="F20" s="5"/>
      <c r="G20" s="6"/>
      <c r="H20" s="19" t="s">
        <v>38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ht="15.75" customHeight="1" x14ac:dyDescent="0.45">
      <c r="A21" s="4"/>
      <c r="B21" s="5"/>
      <c r="C21" s="6"/>
      <c r="D21" s="19" t="s">
        <v>38</v>
      </c>
      <c r="E21" s="5"/>
      <c r="F21" s="5"/>
      <c r="G21" s="6"/>
      <c r="H21" s="16" t="s">
        <v>39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ht="15.75" customHeight="1" x14ac:dyDescent="0.45">
      <c r="A22" s="4"/>
      <c r="B22" s="5"/>
      <c r="C22" s="6"/>
      <c r="D22" s="16" t="s">
        <v>40</v>
      </c>
      <c r="E22" s="5"/>
      <c r="F22" s="5"/>
      <c r="G22" s="6"/>
      <c r="H22" s="16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ht="15.75" customHeight="1" x14ac:dyDescent="0.45">
      <c r="A23" s="4"/>
      <c r="B23" s="5"/>
      <c r="C23" s="6"/>
      <c r="D23" s="16" t="s">
        <v>41</v>
      </c>
      <c r="E23" s="5"/>
      <c r="F23" s="5"/>
      <c r="G23" s="6"/>
      <c r="H23" s="16" t="s">
        <v>42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ht="15.75" customHeight="1" x14ac:dyDescent="0.45">
      <c r="A24" s="4"/>
      <c r="B24" s="5"/>
      <c r="C24" s="6"/>
      <c r="D24" s="16" t="s">
        <v>43</v>
      </c>
      <c r="E24" s="5"/>
      <c r="F24" s="5"/>
      <c r="G24" s="6"/>
      <c r="H24" s="1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ht="15.75" customHeight="1" x14ac:dyDescent="0.45">
      <c r="A25" s="4"/>
      <c r="B25" s="5"/>
      <c r="C25" s="6"/>
      <c r="D25" s="16" t="s">
        <v>44</v>
      </c>
      <c r="E25" s="5"/>
      <c r="F25" s="5"/>
      <c r="G25" s="6"/>
      <c r="H25" s="16" t="s">
        <v>45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ht="15.75" customHeight="1" x14ac:dyDescent="0.45">
      <c r="A26" s="4"/>
      <c r="B26" s="5"/>
      <c r="C26" s="6"/>
      <c r="D26" s="16" t="s">
        <v>46</v>
      </c>
      <c r="E26" s="5"/>
      <c r="F26" s="5"/>
      <c r="G26" s="6"/>
      <c r="H26" s="16" t="s">
        <v>47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ht="15.75" customHeight="1" x14ac:dyDescent="0.4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ht="14.25" x14ac:dyDescent="0.45">
      <c r="A28" s="4"/>
      <c r="B28" s="5"/>
      <c r="C28" s="5" t="s">
        <v>48</v>
      </c>
      <c r="D28" s="11" t="str">
        <f>_xlfn.TEXTJOIN(" ",TRUE, D22:D26)</f>
        <v>Mary had A Little Lamb</v>
      </c>
      <c r="E28" s="8" t="s">
        <v>49</v>
      </c>
      <c r="F28" s="5"/>
      <c r="G28" s="5"/>
      <c r="H28" s="11" t="str">
        <f>_xlfn.CONCAT(H21:H26)</f>
        <v>AreYou SleepingBrother John?</v>
      </c>
      <c r="I28" s="8" t="s">
        <v>50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ht="14.25" x14ac:dyDescent="0.4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ht="14.25" x14ac:dyDescent="0.4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ht="14.25" x14ac:dyDescent="0.4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ht="14.25" x14ac:dyDescent="0.4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ht="14.25" x14ac:dyDescent="0.4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ht="14.25" x14ac:dyDescent="0.4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ht="14.25" x14ac:dyDescent="0.4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ht="14.25" x14ac:dyDescent="0.4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ht="14.25" x14ac:dyDescent="0.4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ht="14.25" x14ac:dyDescent="0.4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ht="14.25" x14ac:dyDescent="0.45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ht="14.25" x14ac:dyDescent="0.4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ht="14.25" x14ac:dyDescent="0.4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ht="14.25" x14ac:dyDescent="0.4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ht="14.25" x14ac:dyDescent="0.4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ht="14.25" x14ac:dyDescent="0.4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ht="14.25" x14ac:dyDescent="0.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ht="14.25" x14ac:dyDescent="0.4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ht="14.25" x14ac:dyDescent="0.4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ht="14.25" x14ac:dyDescent="0.4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ht="14.25" x14ac:dyDescent="0.4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ht="14.25" x14ac:dyDescent="0.4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ht="14.25" x14ac:dyDescent="0.4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ht="14.25" x14ac:dyDescent="0.4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ht="14.25" x14ac:dyDescent="0.4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ht="14.25" x14ac:dyDescent="0.4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ht="14.25" x14ac:dyDescent="0.4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ht="14.25" x14ac:dyDescent="0.4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ht="14.25" x14ac:dyDescent="0.4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ht="14.25" x14ac:dyDescent="0.4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ht="14.25" x14ac:dyDescent="0.4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ht="14.25" x14ac:dyDescent="0.4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ht="14.25" x14ac:dyDescent="0.4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ht="14.25" x14ac:dyDescent="0.4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ht="14.25" x14ac:dyDescent="0.4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ht="14.25" x14ac:dyDescent="0.4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ht="14.25" x14ac:dyDescent="0.4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ht="14.25" x14ac:dyDescent="0.4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ht="14.25" x14ac:dyDescent="0.4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ht="14.25" x14ac:dyDescent="0.4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ht="14.25" x14ac:dyDescent="0.4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ht="14.25" x14ac:dyDescent="0.4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ht="14.25" x14ac:dyDescent="0.4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ht="14.25" x14ac:dyDescent="0.4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ht="14.25" x14ac:dyDescent="0.4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ht="14.25" x14ac:dyDescent="0.4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ht="14.25" x14ac:dyDescent="0.4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ht="14.25" x14ac:dyDescent="0.4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ht="14.25" x14ac:dyDescent="0.4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ht="14.25" x14ac:dyDescent="0.4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ht="14.25" x14ac:dyDescent="0.4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ht="14.25" x14ac:dyDescent="0.4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ht="14.25" x14ac:dyDescent="0.4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ht="14.25" x14ac:dyDescent="0.4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ht="14.25" x14ac:dyDescent="0.4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ht="14.25" x14ac:dyDescent="0.4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ht="14.25" x14ac:dyDescent="0.4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ht="14.25" x14ac:dyDescent="0.4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ht="14.25" x14ac:dyDescent="0.4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ht="14.25" x14ac:dyDescent="0.4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ht="14.25" x14ac:dyDescent="0.4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ht="14.25" x14ac:dyDescent="0.4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ht="14.25" x14ac:dyDescent="0.4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ht="14.25" x14ac:dyDescent="0.4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ht="14.25" x14ac:dyDescent="0.4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ht="14.25" x14ac:dyDescent="0.4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ht="14.25" x14ac:dyDescent="0.4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ht="14.25" x14ac:dyDescent="0.4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ht="14.25" x14ac:dyDescent="0.4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ht="14.25" x14ac:dyDescent="0.4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ht="14.25" x14ac:dyDescent="0.4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ht="14.25" x14ac:dyDescent="0.4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ht="14.25" x14ac:dyDescent="0.4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ht="14.25" x14ac:dyDescent="0.4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ht="14.25" x14ac:dyDescent="0.4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ht="14.25" x14ac:dyDescent="0.4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ht="14.25" x14ac:dyDescent="0.4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ht="14.25" x14ac:dyDescent="0.4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ht="14.25" x14ac:dyDescent="0.4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ht="14.25" x14ac:dyDescent="0.4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ht="14.25" x14ac:dyDescent="0.4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ht="14.25" x14ac:dyDescent="0.4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ht="14.25" x14ac:dyDescent="0.4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ht="14.25" x14ac:dyDescent="0.4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ht="14.25" x14ac:dyDescent="0.4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ht="14.25" x14ac:dyDescent="0.4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ht="14.25" x14ac:dyDescent="0.4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ht="14.25" x14ac:dyDescent="0.4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ht="14.25" x14ac:dyDescent="0.4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ht="14.25" x14ac:dyDescent="0.4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ht="14.25" x14ac:dyDescent="0.4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ht="14.25" x14ac:dyDescent="0.4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ht="14.25" x14ac:dyDescent="0.4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ht="14.25" x14ac:dyDescent="0.4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ht="14.25" x14ac:dyDescent="0.4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ht="14.25" x14ac:dyDescent="0.4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ht="14.25" x14ac:dyDescent="0.4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ht="14.25" x14ac:dyDescent="0.4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ht="14.25" x14ac:dyDescent="0.4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ht="14.25" x14ac:dyDescent="0.4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ht="14.25" x14ac:dyDescent="0.4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ht="14.25" x14ac:dyDescent="0.4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ht="14.25" x14ac:dyDescent="0.4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ht="14.25" x14ac:dyDescent="0.4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ht="14.25" x14ac:dyDescent="0.4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ht="14.25" x14ac:dyDescent="0.4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ht="14.25" x14ac:dyDescent="0.4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ht="14.25" x14ac:dyDescent="0.4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ht="14.25" x14ac:dyDescent="0.4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ht="14.25" x14ac:dyDescent="0.4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ht="14.25" x14ac:dyDescent="0.4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ht="14.25" x14ac:dyDescent="0.4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ht="14.25" x14ac:dyDescent="0.4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ht="14.25" x14ac:dyDescent="0.4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ht="14.25" x14ac:dyDescent="0.4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ht="14.25" x14ac:dyDescent="0.4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ht="14.25" x14ac:dyDescent="0.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ht="14.25" x14ac:dyDescent="0.4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ht="14.25" x14ac:dyDescent="0.4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ht="14.25" x14ac:dyDescent="0.4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ht="14.25" x14ac:dyDescent="0.4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ht="14.25" x14ac:dyDescent="0.4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ht="14.25" x14ac:dyDescent="0.4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ht="14.25" x14ac:dyDescent="0.4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ht="14.25" x14ac:dyDescent="0.4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ht="14.25" x14ac:dyDescent="0.4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ht="14.25" x14ac:dyDescent="0.4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ht="14.25" x14ac:dyDescent="0.4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ht="14.25" x14ac:dyDescent="0.4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ht="14.25" x14ac:dyDescent="0.4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ht="14.25" x14ac:dyDescent="0.4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ht="14.25" x14ac:dyDescent="0.4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ht="14.25" x14ac:dyDescent="0.4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ht="14.25" x14ac:dyDescent="0.4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ht="14.25" x14ac:dyDescent="0.4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ht="14.25" x14ac:dyDescent="0.4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ht="14.25" x14ac:dyDescent="0.4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ht="14.25" x14ac:dyDescent="0.4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ht="14.25" x14ac:dyDescent="0.4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ht="14.25" x14ac:dyDescent="0.4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ht="14.25" x14ac:dyDescent="0.4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ht="14.25" x14ac:dyDescent="0.4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ht="14.25" x14ac:dyDescent="0.4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ht="14.25" x14ac:dyDescent="0.4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ht="14.25" x14ac:dyDescent="0.4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ht="14.25" x14ac:dyDescent="0.4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ht="14.25" x14ac:dyDescent="0.4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ht="14.25" x14ac:dyDescent="0.4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ht="14.25" x14ac:dyDescent="0.4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ht="14.25" x14ac:dyDescent="0.4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ht="14.25" x14ac:dyDescent="0.4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ht="14.25" x14ac:dyDescent="0.4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ht="14.25" x14ac:dyDescent="0.4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ht="14.25" x14ac:dyDescent="0.4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ht="14.25" x14ac:dyDescent="0.4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ht="14.25" x14ac:dyDescent="0.4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ht="14.25" x14ac:dyDescent="0.4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ht="14.25" x14ac:dyDescent="0.4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ht="14.25" x14ac:dyDescent="0.4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ht="14.25" x14ac:dyDescent="0.4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ht="14.25" x14ac:dyDescent="0.4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ht="14.25" x14ac:dyDescent="0.4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ht="14.25" x14ac:dyDescent="0.4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ht="14.25" x14ac:dyDescent="0.4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ht="14.25" x14ac:dyDescent="0.4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ht="14.25" x14ac:dyDescent="0.4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ht="14.25" x14ac:dyDescent="0.4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ht="14.25" x14ac:dyDescent="0.4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ht="14.25" x14ac:dyDescent="0.4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ht="14.25" x14ac:dyDescent="0.4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ht="14.25" x14ac:dyDescent="0.4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ht="14.25" x14ac:dyDescent="0.4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ht="14.25" x14ac:dyDescent="0.4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ht="14.25" x14ac:dyDescent="0.45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ht="14.25" x14ac:dyDescent="0.4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ht="14.25" x14ac:dyDescent="0.45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ht="14.25" x14ac:dyDescent="0.4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ht="14.25" x14ac:dyDescent="0.45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ht="14.25" x14ac:dyDescent="0.4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ht="14.25" x14ac:dyDescent="0.4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ht="14.25" x14ac:dyDescent="0.4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ht="14.25" x14ac:dyDescent="0.4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ht="14.25" x14ac:dyDescent="0.4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ht="14.25" x14ac:dyDescent="0.4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ht="14.25" x14ac:dyDescent="0.4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ht="14.25" x14ac:dyDescent="0.4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ht="14.25" x14ac:dyDescent="0.4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ht="14.25" x14ac:dyDescent="0.45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ht="14.25" x14ac:dyDescent="0.45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ht="14.25" x14ac:dyDescent="0.45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ht="14.25" x14ac:dyDescent="0.4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ht="14.25" x14ac:dyDescent="0.4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ht="14.25" x14ac:dyDescent="0.4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ht="14.25" x14ac:dyDescent="0.4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ht="14.25" x14ac:dyDescent="0.45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ht="14.25" x14ac:dyDescent="0.45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ht="14.25" x14ac:dyDescent="0.4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ht="14.25" x14ac:dyDescent="0.45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ht="14.25" x14ac:dyDescent="0.45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ht="14.25" x14ac:dyDescent="0.45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ht="14.25" x14ac:dyDescent="0.45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ht="14.25" x14ac:dyDescent="0.45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ht="14.25" x14ac:dyDescent="0.4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ht="14.25" x14ac:dyDescent="0.45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ht="14.25" x14ac:dyDescent="0.45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ht="14.25" x14ac:dyDescent="0.45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ht="14.25" x14ac:dyDescent="0.4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ht="14.25" x14ac:dyDescent="0.45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ht="14.25" x14ac:dyDescent="0.45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ht="14.25" x14ac:dyDescent="0.45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ht="14.25" x14ac:dyDescent="0.45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ht="14.25" x14ac:dyDescent="0.45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ht="14.25" x14ac:dyDescent="0.45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ht="14.25" x14ac:dyDescent="0.4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ht="14.25" x14ac:dyDescent="0.45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ht="14.25" x14ac:dyDescent="0.45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ht="14.25" x14ac:dyDescent="0.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ht="14.25" x14ac:dyDescent="0.45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ht="14.25" x14ac:dyDescent="0.45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ht="14.25" x14ac:dyDescent="0.45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ht="14.25" x14ac:dyDescent="0.45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ht="14.25" x14ac:dyDescent="0.45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ht="14.25" x14ac:dyDescent="0.4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ht="14.25" x14ac:dyDescent="0.45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ht="14.25" x14ac:dyDescent="0.45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ht="14.25" x14ac:dyDescent="0.4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ht="14.25" x14ac:dyDescent="0.4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ht="14.25" x14ac:dyDescent="0.45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ht="14.25" x14ac:dyDescent="0.45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ht="14.25" x14ac:dyDescent="0.45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ht="14.25" x14ac:dyDescent="0.45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ht="14.25" x14ac:dyDescent="0.45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ht="14.25" x14ac:dyDescent="0.4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ht="14.25" x14ac:dyDescent="0.4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ht="14.25" x14ac:dyDescent="0.45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ht="14.25" x14ac:dyDescent="0.4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ht="14.25" x14ac:dyDescent="0.4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ht="14.25" x14ac:dyDescent="0.45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ht="14.25" x14ac:dyDescent="0.4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ht="14.25" x14ac:dyDescent="0.45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ht="14.25" x14ac:dyDescent="0.45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ht="14.25" x14ac:dyDescent="0.45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ht="14.25" x14ac:dyDescent="0.45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ht="14.25" x14ac:dyDescent="0.45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ht="14.25" x14ac:dyDescent="0.4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ht="14.25" x14ac:dyDescent="0.45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ht="14.25" x14ac:dyDescent="0.4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ht="14.25" x14ac:dyDescent="0.4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ht="14.25" x14ac:dyDescent="0.4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ht="14.25" x14ac:dyDescent="0.45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ht="14.25" x14ac:dyDescent="0.45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ht="14.25" x14ac:dyDescent="0.4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ht="14.25" x14ac:dyDescent="0.4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ht="14.25" x14ac:dyDescent="0.4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ht="14.25" x14ac:dyDescent="0.4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ht="14.25" x14ac:dyDescent="0.4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ht="14.25" x14ac:dyDescent="0.4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ht="14.25" x14ac:dyDescent="0.4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ht="14.25" x14ac:dyDescent="0.4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ht="14.25" x14ac:dyDescent="0.4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ht="14.25" x14ac:dyDescent="0.4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ht="14.25" x14ac:dyDescent="0.4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ht="14.25" x14ac:dyDescent="0.4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ht="14.25" x14ac:dyDescent="0.4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ht="14.25" x14ac:dyDescent="0.4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ht="14.25" x14ac:dyDescent="0.45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ht="14.25" x14ac:dyDescent="0.4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ht="14.25" x14ac:dyDescent="0.4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ht="14.25" x14ac:dyDescent="0.4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ht="14.25" x14ac:dyDescent="0.4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ht="14.25" x14ac:dyDescent="0.4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ht="14.25" x14ac:dyDescent="0.4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ht="14.25" x14ac:dyDescent="0.4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ht="14.25" x14ac:dyDescent="0.4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ht="14.25" x14ac:dyDescent="0.4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ht="14.25" x14ac:dyDescent="0.4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ht="14.25" x14ac:dyDescent="0.4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ht="14.25" x14ac:dyDescent="0.4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ht="14.25" x14ac:dyDescent="0.45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ht="14.25" x14ac:dyDescent="0.4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ht="14.25" x14ac:dyDescent="0.4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ht="14.25" x14ac:dyDescent="0.4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ht="14.25" x14ac:dyDescent="0.4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ht="14.25" x14ac:dyDescent="0.4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ht="14.25" x14ac:dyDescent="0.4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ht="14.25" x14ac:dyDescent="0.4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ht="14.25" x14ac:dyDescent="0.4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ht="14.25" x14ac:dyDescent="0.4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ht="14.25" x14ac:dyDescent="0.4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ht="14.25" x14ac:dyDescent="0.4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ht="14.25" x14ac:dyDescent="0.4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ht="14.25" x14ac:dyDescent="0.4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ht="14.25" x14ac:dyDescent="0.4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ht="14.25" x14ac:dyDescent="0.4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ht="14.25" x14ac:dyDescent="0.4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ht="14.25" x14ac:dyDescent="0.4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ht="14.25" x14ac:dyDescent="0.4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ht="14.25" x14ac:dyDescent="0.4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ht="14.25" x14ac:dyDescent="0.4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ht="14.25" x14ac:dyDescent="0.4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ht="14.25" x14ac:dyDescent="0.4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ht="14.25" x14ac:dyDescent="0.4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ht="14.25" x14ac:dyDescent="0.4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ht="14.25" x14ac:dyDescent="0.4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ht="14.25" x14ac:dyDescent="0.4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ht="14.25" x14ac:dyDescent="0.4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ht="14.25" x14ac:dyDescent="0.4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ht="14.25" x14ac:dyDescent="0.4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ht="14.25" x14ac:dyDescent="0.4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ht="14.25" x14ac:dyDescent="0.4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ht="14.25" x14ac:dyDescent="0.4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ht="14.25" x14ac:dyDescent="0.4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ht="14.25" x14ac:dyDescent="0.4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ht="14.25" x14ac:dyDescent="0.4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ht="14.25" x14ac:dyDescent="0.4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ht="14.25" x14ac:dyDescent="0.4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ht="14.25" x14ac:dyDescent="0.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ht="14.25" x14ac:dyDescent="0.4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ht="14.25" x14ac:dyDescent="0.4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ht="14.25" x14ac:dyDescent="0.4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ht="14.25" x14ac:dyDescent="0.4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ht="14.25" x14ac:dyDescent="0.4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ht="14.25" x14ac:dyDescent="0.4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ht="14.25" x14ac:dyDescent="0.4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ht="14.25" x14ac:dyDescent="0.4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ht="14.25" x14ac:dyDescent="0.4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ht="14.25" x14ac:dyDescent="0.4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ht="14.25" x14ac:dyDescent="0.4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ht="14.25" x14ac:dyDescent="0.45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ht="14.25" x14ac:dyDescent="0.45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ht="14.25" x14ac:dyDescent="0.45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ht="14.25" x14ac:dyDescent="0.45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ht="14.25" x14ac:dyDescent="0.45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ht="14.25" x14ac:dyDescent="0.4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ht="14.25" x14ac:dyDescent="0.45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ht="14.25" x14ac:dyDescent="0.4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ht="14.25" x14ac:dyDescent="0.4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ht="14.25" x14ac:dyDescent="0.4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ht="14.25" x14ac:dyDescent="0.4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ht="14.25" x14ac:dyDescent="0.4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ht="14.25" x14ac:dyDescent="0.4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ht="14.25" x14ac:dyDescent="0.4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ht="14.25" x14ac:dyDescent="0.4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ht="14.25" x14ac:dyDescent="0.4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ht="14.25" x14ac:dyDescent="0.4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ht="14.25" x14ac:dyDescent="0.4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ht="14.25" x14ac:dyDescent="0.4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ht="14.25" x14ac:dyDescent="0.4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ht="14.25" x14ac:dyDescent="0.4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ht="14.25" x14ac:dyDescent="0.4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ht="14.25" x14ac:dyDescent="0.4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ht="14.25" x14ac:dyDescent="0.4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ht="14.25" x14ac:dyDescent="0.4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ht="14.25" x14ac:dyDescent="0.4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ht="14.25" x14ac:dyDescent="0.4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ht="14.25" x14ac:dyDescent="0.4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ht="14.25" x14ac:dyDescent="0.4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ht="14.25" x14ac:dyDescent="0.45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ht="14.25" x14ac:dyDescent="0.45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ht="14.25" x14ac:dyDescent="0.4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ht="14.25" x14ac:dyDescent="0.45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ht="14.25" x14ac:dyDescent="0.4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ht="14.25" x14ac:dyDescent="0.4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ht="14.25" x14ac:dyDescent="0.45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ht="14.25" x14ac:dyDescent="0.4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ht="14.25" x14ac:dyDescent="0.4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ht="14.25" x14ac:dyDescent="0.4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ht="14.25" x14ac:dyDescent="0.45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ht="14.25" x14ac:dyDescent="0.45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ht="14.25" x14ac:dyDescent="0.4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ht="14.25" x14ac:dyDescent="0.4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ht="14.25" x14ac:dyDescent="0.4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ht="14.25" x14ac:dyDescent="0.4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ht="14.25" x14ac:dyDescent="0.45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ht="14.25" x14ac:dyDescent="0.4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ht="14.25" x14ac:dyDescent="0.45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ht="14.25" x14ac:dyDescent="0.4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ht="14.25" x14ac:dyDescent="0.4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ht="14.25" x14ac:dyDescent="0.45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ht="14.25" x14ac:dyDescent="0.4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ht="14.25" x14ac:dyDescent="0.4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ht="14.25" x14ac:dyDescent="0.4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ht="14.25" x14ac:dyDescent="0.4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ht="14.25" x14ac:dyDescent="0.4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ht="14.25" x14ac:dyDescent="0.4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ht="14.25" x14ac:dyDescent="0.45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ht="14.25" x14ac:dyDescent="0.4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ht="14.25" x14ac:dyDescent="0.4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ht="14.25" x14ac:dyDescent="0.4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ht="14.25" x14ac:dyDescent="0.45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ht="14.25" x14ac:dyDescent="0.4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ht="14.25" x14ac:dyDescent="0.4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ht="14.25" x14ac:dyDescent="0.4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ht="14.25" x14ac:dyDescent="0.45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ht="14.25" x14ac:dyDescent="0.4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ht="14.25" x14ac:dyDescent="0.4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ht="14.25" x14ac:dyDescent="0.4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ht="14.25" x14ac:dyDescent="0.4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ht="14.25" x14ac:dyDescent="0.4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ht="14.25" x14ac:dyDescent="0.4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ht="14.25" x14ac:dyDescent="0.4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ht="14.25" x14ac:dyDescent="0.4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ht="14.25" x14ac:dyDescent="0.4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ht="14.25" x14ac:dyDescent="0.45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ht="14.25" x14ac:dyDescent="0.4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ht="14.25" x14ac:dyDescent="0.4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ht="14.25" x14ac:dyDescent="0.4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ht="14.25" x14ac:dyDescent="0.4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ht="14.25" x14ac:dyDescent="0.4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ht="14.25" x14ac:dyDescent="0.4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ht="14.25" x14ac:dyDescent="0.4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ht="14.25" x14ac:dyDescent="0.4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ht="14.25" x14ac:dyDescent="0.45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ht="14.25" x14ac:dyDescent="0.4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ht="14.25" x14ac:dyDescent="0.4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ht="14.25" x14ac:dyDescent="0.4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ht="14.25" x14ac:dyDescent="0.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ht="14.25" x14ac:dyDescent="0.45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ht="14.25" x14ac:dyDescent="0.4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ht="14.25" x14ac:dyDescent="0.4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ht="14.25" x14ac:dyDescent="0.45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ht="14.25" x14ac:dyDescent="0.4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ht="14.25" x14ac:dyDescent="0.4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ht="14.25" x14ac:dyDescent="0.4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ht="14.25" x14ac:dyDescent="0.4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ht="14.25" x14ac:dyDescent="0.4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ht="14.25" x14ac:dyDescent="0.4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ht="14.25" x14ac:dyDescent="0.45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ht="14.25" x14ac:dyDescent="0.45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ht="14.25" x14ac:dyDescent="0.4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ht="14.25" x14ac:dyDescent="0.4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ht="14.25" x14ac:dyDescent="0.45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ht="14.25" x14ac:dyDescent="0.45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ht="14.25" x14ac:dyDescent="0.45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ht="14.25" x14ac:dyDescent="0.45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ht="14.25" x14ac:dyDescent="0.45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ht="14.25" x14ac:dyDescent="0.4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ht="14.25" x14ac:dyDescent="0.45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ht="14.25" x14ac:dyDescent="0.45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ht="14.25" x14ac:dyDescent="0.45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ht="14.25" x14ac:dyDescent="0.45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ht="14.25" x14ac:dyDescent="0.45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ht="14.25" x14ac:dyDescent="0.45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ht="14.25" x14ac:dyDescent="0.45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ht="14.25" x14ac:dyDescent="0.45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ht="14.25" x14ac:dyDescent="0.45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ht="14.25" x14ac:dyDescent="0.4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ht="14.25" x14ac:dyDescent="0.45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ht="14.25" x14ac:dyDescent="0.4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ht="14.25" x14ac:dyDescent="0.4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ht="14.25" x14ac:dyDescent="0.4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ht="14.25" x14ac:dyDescent="0.4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ht="14.25" x14ac:dyDescent="0.4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ht="14.25" x14ac:dyDescent="0.4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ht="14.25" x14ac:dyDescent="0.4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ht="14.25" x14ac:dyDescent="0.4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ht="14.25" x14ac:dyDescent="0.4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ht="14.25" x14ac:dyDescent="0.4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ht="14.25" x14ac:dyDescent="0.4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ht="14.25" x14ac:dyDescent="0.4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ht="14.25" x14ac:dyDescent="0.4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ht="14.25" x14ac:dyDescent="0.4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ht="14.25" x14ac:dyDescent="0.4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ht="14.25" x14ac:dyDescent="0.4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ht="14.25" x14ac:dyDescent="0.4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ht="14.25" x14ac:dyDescent="0.4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ht="14.25" x14ac:dyDescent="0.4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ht="14.25" x14ac:dyDescent="0.4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ht="14.25" x14ac:dyDescent="0.4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ht="14.25" x14ac:dyDescent="0.4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ht="14.25" x14ac:dyDescent="0.4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ht="14.25" x14ac:dyDescent="0.4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ht="14.25" x14ac:dyDescent="0.4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ht="14.25" x14ac:dyDescent="0.4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ht="14.25" x14ac:dyDescent="0.4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ht="14.25" x14ac:dyDescent="0.4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ht="14.25" x14ac:dyDescent="0.4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ht="14.25" x14ac:dyDescent="0.4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ht="14.25" x14ac:dyDescent="0.4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ht="14.25" x14ac:dyDescent="0.4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ht="14.25" x14ac:dyDescent="0.4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ht="14.25" x14ac:dyDescent="0.4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ht="14.25" x14ac:dyDescent="0.4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ht="14.25" x14ac:dyDescent="0.4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ht="14.25" x14ac:dyDescent="0.4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ht="14.25" x14ac:dyDescent="0.4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ht="14.25" x14ac:dyDescent="0.4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ht="14.25" x14ac:dyDescent="0.4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ht="14.25" x14ac:dyDescent="0.4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ht="14.25" x14ac:dyDescent="0.4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ht="14.25" x14ac:dyDescent="0.4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ht="14.25" x14ac:dyDescent="0.4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ht="14.25" x14ac:dyDescent="0.4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ht="14.25" x14ac:dyDescent="0.4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ht="14.25" x14ac:dyDescent="0.4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ht="14.25" x14ac:dyDescent="0.4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ht="14.25" x14ac:dyDescent="0.4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ht="14.25" x14ac:dyDescent="0.4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ht="14.25" x14ac:dyDescent="0.4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ht="14.25" x14ac:dyDescent="0.4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ht="14.25" x14ac:dyDescent="0.4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ht="14.25" x14ac:dyDescent="0.4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ht="14.25" x14ac:dyDescent="0.4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ht="14.25" x14ac:dyDescent="0.4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ht="14.25" x14ac:dyDescent="0.4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ht="14.25" x14ac:dyDescent="0.4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ht="14.25" x14ac:dyDescent="0.4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ht="14.25" x14ac:dyDescent="0.4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ht="14.25" x14ac:dyDescent="0.4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ht="14.25" x14ac:dyDescent="0.4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ht="14.25" x14ac:dyDescent="0.4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ht="14.25" x14ac:dyDescent="0.4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ht="14.25" x14ac:dyDescent="0.4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ht="14.25" x14ac:dyDescent="0.4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ht="14.25" x14ac:dyDescent="0.4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ht="14.25" x14ac:dyDescent="0.4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ht="14.25" x14ac:dyDescent="0.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ht="14.25" x14ac:dyDescent="0.4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ht="14.25" x14ac:dyDescent="0.4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ht="14.25" x14ac:dyDescent="0.4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ht="14.25" x14ac:dyDescent="0.4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ht="14.25" x14ac:dyDescent="0.4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ht="14.25" x14ac:dyDescent="0.4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ht="14.25" x14ac:dyDescent="0.4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ht="14.25" x14ac:dyDescent="0.4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ht="14.25" x14ac:dyDescent="0.4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ht="14.25" x14ac:dyDescent="0.4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ht="14.25" x14ac:dyDescent="0.4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ht="14.25" x14ac:dyDescent="0.4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ht="14.25" x14ac:dyDescent="0.4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ht="14.25" x14ac:dyDescent="0.4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ht="14.25" x14ac:dyDescent="0.4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ht="14.25" x14ac:dyDescent="0.4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ht="14.25" x14ac:dyDescent="0.4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ht="14.25" x14ac:dyDescent="0.4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ht="14.25" x14ac:dyDescent="0.4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ht="14.25" x14ac:dyDescent="0.4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ht="14.25" x14ac:dyDescent="0.4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ht="14.25" x14ac:dyDescent="0.4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ht="14.25" x14ac:dyDescent="0.4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ht="14.25" x14ac:dyDescent="0.4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ht="14.25" x14ac:dyDescent="0.4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ht="14.25" x14ac:dyDescent="0.4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ht="14.25" x14ac:dyDescent="0.4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ht="14.25" x14ac:dyDescent="0.4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ht="14.25" x14ac:dyDescent="0.4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ht="14.25" x14ac:dyDescent="0.4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ht="14.25" x14ac:dyDescent="0.4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ht="14.25" x14ac:dyDescent="0.4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ht="14.25" x14ac:dyDescent="0.4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ht="14.25" x14ac:dyDescent="0.4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ht="14.25" x14ac:dyDescent="0.4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ht="14.25" x14ac:dyDescent="0.4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ht="14.25" x14ac:dyDescent="0.4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ht="14.25" x14ac:dyDescent="0.4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ht="14.25" x14ac:dyDescent="0.4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ht="14.25" x14ac:dyDescent="0.4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ht="14.25" x14ac:dyDescent="0.4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ht="14.25" x14ac:dyDescent="0.4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ht="14.25" x14ac:dyDescent="0.4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ht="14.25" x14ac:dyDescent="0.4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ht="14.25" x14ac:dyDescent="0.4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ht="14.25" x14ac:dyDescent="0.4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ht="14.25" x14ac:dyDescent="0.4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ht="14.25" x14ac:dyDescent="0.4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ht="14.25" x14ac:dyDescent="0.4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ht="14.25" x14ac:dyDescent="0.4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ht="14.25" x14ac:dyDescent="0.4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ht="14.25" x14ac:dyDescent="0.4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ht="14.25" x14ac:dyDescent="0.4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ht="14.25" x14ac:dyDescent="0.4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ht="14.25" x14ac:dyDescent="0.4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ht="14.25" x14ac:dyDescent="0.4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ht="14.25" x14ac:dyDescent="0.4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ht="14.25" x14ac:dyDescent="0.4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ht="14.25" x14ac:dyDescent="0.4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ht="14.25" x14ac:dyDescent="0.4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ht="14.25" x14ac:dyDescent="0.4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ht="14.25" x14ac:dyDescent="0.4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ht="14.25" x14ac:dyDescent="0.4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ht="14.25" x14ac:dyDescent="0.4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ht="14.25" x14ac:dyDescent="0.4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ht="14.25" x14ac:dyDescent="0.4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ht="14.25" x14ac:dyDescent="0.4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ht="14.25" x14ac:dyDescent="0.4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ht="14.25" x14ac:dyDescent="0.4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ht="14.25" x14ac:dyDescent="0.4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ht="14.25" x14ac:dyDescent="0.4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ht="14.25" x14ac:dyDescent="0.4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ht="14.25" x14ac:dyDescent="0.4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ht="14.25" x14ac:dyDescent="0.4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ht="14.25" x14ac:dyDescent="0.4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ht="14.25" x14ac:dyDescent="0.4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ht="14.25" x14ac:dyDescent="0.4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ht="14.25" x14ac:dyDescent="0.4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ht="14.25" x14ac:dyDescent="0.4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ht="14.25" x14ac:dyDescent="0.4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ht="14.25" x14ac:dyDescent="0.4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ht="14.25" x14ac:dyDescent="0.4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ht="14.25" x14ac:dyDescent="0.4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ht="14.25" x14ac:dyDescent="0.4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ht="14.25" x14ac:dyDescent="0.4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ht="14.25" x14ac:dyDescent="0.4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ht="14.25" x14ac:dyDescent="0.4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ht="14.25" x14ac:dyDescent="0.4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ht="14.25" x14ac:dyDescent="0.4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ht="14.25" x14ac:dyDescent="0.4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ht="14.25" x14ac:dyDescent="0.4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ht="14.25" x14ac:dyDescent="0.4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ht="14.25" x14ac:dyDescent="0.4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ht="14.25" x14ac:dyDescent="0.4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ht="14.25" x14ac:dyDescent="0.4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ht="14.25" x14ac:dyDescent="0.4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ht="14.25" x14ac:dyDescent="0.4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ht="14.25" x14ac:dyDescent="0.4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ht="14.25" x14ac:dyDescent="0.4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ht="14.25" x14ac:dyDescent="0.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ht="14.25" x14ac:dyDescent="0.4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ht="14.25" x14ac:dyDescent="0.4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ht="14.25" x14ac:dyDescent="0.4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ht="14.25" x14ac:dyDescent="0.4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ht="14.25" x14ac:dyDescent="0.4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ht="14.25" x14ac:dyDescent="0.4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ht="14.25" x14ac:dyDescent="0.4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ht="14.25" x14ac:dyDescent="0.4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ht="14.25" x14ac:dyDescent="0.4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ht="14.25" x14ac:dyDescent="0.4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ht="14.25" x14ac:dyDescent="0.4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ht="14.25" x14ac:dyDescent="0.4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ht="14.25" x14ac:dyDescent="0.4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ht="14.25" x14ac:dyDescent="0.4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ht="14.25" x14ac:dyDescent="0.4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ht="14.25" x14ac:dyDescent="0.4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ht="14.25" x14ac:dyDescent="0.4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ht="14.25" x14ac:dyDescent="0.4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ht="14.25" x14ac:dyDescent="0.4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ht="14.25" x14ac:dyDescent="0.4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ht="14.25" x14ac:dyDescent="0.4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ht="14.25" x14ac:dyDescent="0.4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ht="14.25" x14ac:dyDescent="0.4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ht="14.25" x14ac:dyDescent="0.4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ht="14.25" x14ac:dyDescent="0.4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ht="14.25" x14ac:dyDescent="0.4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ht="14.25" x14ac:dyDescent="0.4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ht="14.25" x14ac:dyDescent="0.4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ht="14.25" x14ac:dyDescent="0.4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ht="14.25" x14ac:dyDescent="0.4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ht="14.25" x14ac:dyDescent="0.4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ht="14.25" x14ac:dyDescent="0.4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ht="14.25" x14ac:dyDescent="0.4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ht="14.25" x14ac:dyDescent="0.4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ht="14.25" x14ac:dyDescent="0.4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ht="14.25" x14ac:dyDescent="0.4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ht="14.25" x14ac:dyDescent="0.4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ht="14.25" x14ac:dyDescent="0.4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ht="14.25" x14ac:dyDescent="0.4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ht="14.25" x14ac:dyDescent="0.4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ht="14.25" x14ac:dyDescent="0.4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ht="14.25" x14ac:dyDescent="0.4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ht="14.25" x14ac:dyDescent="0.4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ht="14.25" x14ac:dyDescent="0.4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ht="14.25" x14ac:dyDescent="0.4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ht="14.25" x14ac:dyDescent="0.4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ht="14.25" x14ac:dyDescent="0.4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ht="14.25" x14ac:dyDescent="0.4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ht="14.25" x14ac:dyDescent="0.4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ht="14.25" x14ac:dyDescent="0.4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ht="14.25" x14ac:dyDescent="0.4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ht="14.25" x14ac:dyDescent="0.4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ht="14.25" x14ac:dyDescent="0.4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ht="14.25" x14ac:dyDescent="0.4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ht="14.25" x14ac:dyDescent="0.4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ht="14.25" x14ac:dyDescent="0.4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ht="14.25" x14ac:dyDescent="0.4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ht="14.25" x14ac:dyDescent="0.4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ht="14.25" x14ac:dyDescent="0.4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ht="14.25" x14ac:dyDescent="0.4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ht="14.25" x14ac:dyDescent="0.4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ht="14.25" x14ac:dyDescent="0.4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ht="14.25" x14ac:dyDescent="0.4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ht="14.25" x14ac:dyDescent="0.4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ht="14.25" x14ac:dyDescent="0.4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ht="14.25" x14ac:dyDescent="0.4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ht="14.25" x14ac:dyDescent="0.4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ht="14.25" x14ac:dyDescent="0.4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ht="14.25" x14ac:dyDescent="0.4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ht="14.25" x14ac:dyDescent="0.4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ht="14.25" x14ac:dyDescent="0.4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ht="14.25" x14ac:dyDescent="0.4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ht="14.25" x14ac:dyDescent="0.4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ht="14.25" x14ac:dyDescent="0.4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ht="14.25" x14ac:dyDescent="0.4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ht="14.25" x14ac:dyDescent="0.4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ht="14.25" x14ac:dyDescent="0.4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ht="14.25" x14ac:dyDescent="0.4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ht="14.25" x14ac:dyDescent="0.4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ht="14.25" x14ac:dyDescent="0.4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ht="14.25" x14ac:dyDescent="0.4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ht="14.25" x14ac:dyDescent="0.4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ht="14.25" x14ac:dyDescent="0.4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ht="14.25" x14ac:dyDescent="0.4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ht="14.25" x14ac:dyDescent="0.4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ht="14.25" x14ac:dyDescent="0.4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ht="14.25" x14ac:dyDescent="0.4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ht="14.25" x14ac:dyDescent="0.4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ht="14.25" x14ac:dyDescent="0.4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ht="14.25" x14ac:dyDescent="0.4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ht="14.25" x14ac:dyDescent="0.4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ht="14.25" x14ac:dyDescent="0.4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ht="14.25" x14ac:dyDescent="0.4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ht="14.25" x14ac:dyDescent="0.4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ht="14.25" x14ac:dyDescent="0.4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ht="14.25" x14ac:dyDescent="0.4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ht="14.25" x14ac:dyDescent="0.4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ht="14.25" x14ac:dyDescent="0.4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ht="14.25" x14ac:dyDescent="0.4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ht="14.25" x14ac:dyDescent="0.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ht="14.25" x14ac:dyDescent="0.4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ht="14.25" x14ac:dyDescent="0.4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ht="14.25" x14ac:dyDescent="0.4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ht="14.25" x14ac:dyDescent="0.4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ht="14.25" x14ac:dyDescent="0.4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ht="14.25" x14ac:dyDescent="0.4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ht="14.25" x14ac:dyDescent="0.4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ht="14.25" x14ac:dyDescent="0.4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ht="14.25" x14ac:dyDescent="0.4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ht="14.25" x14ac:dyDescent="0.4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ht="14.25" x14ac:dyDescent="0.4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ht="14.25" x14ac:dyDescent="0.4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ht="14.25" x14ac:dyDescent="0.4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ht="14.25" x14ac:dyDescent="0.4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ht="14.25" x14ac:dyDescent="0.4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ht="14.25" x14ac:dyDescent="0.4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ht="14.25" x14ac:dyDescent="0.4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ht="14.25" x14ac:dyDescent="0.4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ht="14.25" x14ac:dyDescent="0.4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ht="14.25" x14ac:dyDescent="0.4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ht="14.25" x14ac:dyDescent="0.4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ht="14.25" x14ac:dyDescent="0.4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ht="14.25" x14ac:dyDescent="0.4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ht="14.25" x14ac:dyDescent="0.4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ht="14.25" x14ac:dyDescent="0.4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ht="14.25" x14ac:dyDescent="0.4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ht="14.25" x14ac:dyDescent="0.4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ht="14.25" x14ac:dyDescent="0.4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ht="14.25" x14ac:dyDescent="0.4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ht="14.25" x14ac:dyDescent="0.4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ht="14.25" x14ac:dyDescent="0.4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ht="14.25" x14ac:dyDescent="0.4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ht="14.25" x14ac:dyDescent="0.4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ht="14.25" x14ac:dyDescent="0.4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ht="14.25" x14ac:dyDescent="0.4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ht="14.25" x14ac:dyDescent="0.4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ht="14.25" x14ac:dyDescent="0.4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ht="14.25" x14ac:dyDescent="0.4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ht="14.25" x14ac:dyDescent="0.4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ht="14.25" x14ac:dyDescent="0.4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ht="14.25" x14ac:dyDescent="0.4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ht="14.25" x14ac:dyDescent="0.4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ht="14.25" x14ac:dyDescent="0.4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ht="14.25" x14ac:dyDescent="0.4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ht="14.25" x14ac:dyDescent="0.4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ht="14.25" x14ac:dyDescent="0.4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ht="14.25" x14ac:dyDescent="0.4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ht="14.25" x14ac:dyDescent="0.45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ht="14.25" x14ac:dyDescent="0.45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ht="14.25" x14ac:dyDescent="0.4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ht="14.25" x14ac:dyDescent="0.45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ht="14.25" x14ac:dyDescent="0.45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ht="14.25" x14ac:dyDescent="0.45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ht="14.25" x14ac:dyDescent="0.45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ht="14.25" x14ac:dyDescent="0.45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ht="14.25" x14ac:dyDescent="0.45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ht="14.25" x14ac:dyDescent="0.45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ht="14.25" x14ac:dyDescent="0.45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ht="14.25" x14ac:dyDescent="0.45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ht="14.25" x14ac:dyDescent="0.4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ht="14.25" x14ac:dyDescent="0.45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ht="14.25" x14ac:dyDescent="0.45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ht="14.25" x14ac:dyDescent="0.45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ht="14.25" x14ac:dyDescent="0.45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ht="14.25" x14ac:dyDescent="0.45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ht="14.25" x14ac:dyDescent="0.45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ht="14.25" x14ac:dyDescent="0.45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ht="14.25" x14ac:dyDescent="0.45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ht="14.25" x14ac:dyDescent="0.45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ht="14.25" x14ac:dyDescent="0.4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ht="14.25" x14ac:dyDescent="0.45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ht="14.25" x14ac:dyDescent="0.45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ht="14.25" x14ac:dyDescent="0.45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ht="14.25" x14ac:dyDescent="0.45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ht="14.25" x14ac:dyDescent="0.45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ht="14.25" x14ac:dyDescent="0.45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ht="14.25" x14ac:dyDescent="0.45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ht="14.25" x14ac:dyDescent="0.45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ht="14.25" x14ac:dyDescent="0.45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ht="14.25" x14ac:dyDescent="0.4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ht="14.25" x14ac:dyDescent="0.45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ht="14.25" x14ac:dyDescent="0.45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ht="14.25" x14ac:dyDescent="0.45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ht="14.25" x14ac:dyDescent="0.45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ht="14.25" x14ac:dyDescent="0.45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ht="14.25" x14ac:dyDescent="0.45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ht="14.25" x14ac:dyDescent="0.45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ht="14.25" x14ac:dyDescent="0.45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ht="14.25" x14ac:dyDescent="0.45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ht="14.25" x14ac:dyDescent="0.4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ht="14.25" x14ac:dyDescent="0.45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ht="14.25" x14ac:dyDescent="0.45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ht="14.25" x14ac:dyDescent="0.45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ht="14.25" x14ac:dyDescent="0.45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ht="14.25" x14ac:dyDescent="0.45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ht="14.25" x14ac:dyDescent="0.45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ht="14.25" x14ac:dyDescent="0.45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ht="14.25" x14ac:dyDescent="0.45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ht="14.25" x14ac:dyDescent="0.45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ht="14.25" x14ac:dyDescent="0.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ht="14.25" x14ac:dyDescent="0.45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ht="14.25" x14ac:dyDescent="0.45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ht="14.25" x14ac:dyDescent="0.45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ht="14.25" x14ac:dyDescent="0.45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ht="14.25" x14ac:dyDescent="0.45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ht="14.25" x14ac:dyDescent="0.45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ht="14.25" x14ac:dyDescent="0.45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ht="14.25" x14ac:dyDescent="0.45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ht="14.25" x14ac:dyDescent="0.45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ht="14.25" x14ac:dyDescent="0.4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ht="14.25" x14ac:dyDescent="0.45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ht="14.25" x14ac:dyDescent="0.45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ht="14.25" x14ac:dyDescent="0.45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ht="14.25" x14ac:dyDescent="0.45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ht="14.25" x14ac:dyDescent="0.45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ht="14.25" x14ac:dyDescent="0.45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ht="14.25" x14ac:dyDescent="0.45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ht="14.25" x14ac:dyDescent="0.45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ht="14.25" x14ac:dyDescent="0.45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ht="14.25" x14ac:dyDescent="0.4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ht="14.25" x14ac:dyDescent="0.45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ht="14.25" x14ac:dyDescent="0.45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ht="14.25" x14ac:dyDescent="0.45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ht="14.25" x14ac:dyDescent="0.45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ht="14.25" x14ac:dyDescent="0.45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ht="14.25" x14ac:dyDescent="0.45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ht="14.25" x14ac:dyDescent="0.45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ht="14.25" x14ac:dyDescent="0.45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ht="14.25" x14ac:dyDescent="0.45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ht="14.25" x14ac:dyDescent="0.4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ht="14.25" x14ac:dyDescent="0.45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ht="14.25" x14ac:dyDescent="0.45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ht="14.25" x14ac:dyDescent="0.45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ht="14.25" x14ac:dyDescent="0.45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ht="14.25" x14ac:dyDescent="0.45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ht="14.25" x14ac:dyDescent="0.45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ht="14.25" x14ac:dyDescent="0.45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ht="14.25" x14ac:dyDescent="0.45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ht="14.25" x14ac:dyDescent="0.45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ht="14.25" x14ac:dyDescent="0.4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ht="14.25" x14ac:dyDescent="0.45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ht="14.25" x14ac:dyDescent="0.45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ht="14.25" x14ac:dyDescent="0.45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ht="14.25" x14ac:dyDescent="0.45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ht="14.25" x14ac:dyDescent="0.45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ht="14.25" x14ac:dyDescent="0.45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ht="14.25" x14ac:dyDescent="0.45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ht="14.25" x14ac:dyDescent="0.45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ht="14.25" x14ac:dyDescent="0.45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ht="14.25" x14ac:dyDescent="0.4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ht="14.25" x14ac:dyDescent="0.45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ht="14.25" x14ac:dyDescent="0.45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ht="14.25" x14ac:dyDescent="0.45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ht="14.25" x14ac:dyDescent="0.45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ht="14.25" x14ac:dyDescent="0.45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ht="14.25" x14ac:dyDescent="0.45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ht="14.25" x14ac:dyDescent="0.45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ht="14.25" x14ac:dyDescent="0.45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ht="14.25" x14ac:dyDescent="0.45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ht="14.25" x14ac:dyDescent="0.4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ht="14.25" x14ac:dyDescent="0.45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ht="14.25" x14ac:dyDescent="0.45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ht="14.25" x14ac:dyDescent="0.45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ht="14.25" x14ac:dyDescent="0.45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ht="14.25" x14ac:dyDescent="0.45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ht="14.25" x14ac:dyDescent="0.45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ht="14.25" x14ac:dyDescent="0.45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ht="14.25" x14ac:dyDescent="0.45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ht="14.25" x14ac:dyDescent="0.45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ht="14.25" x14ac:dyDescent="0.4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ht="14.25" x14ac:dyDescent="0.45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ht="14.25" x14ac:dyDescent="0.45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ht="14.25" x14ac:dyDescent="0.45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ht="14.25" x14ac:dyDescent="0.45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ht="14.25" x14ac:dyDescent="0.45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ht="14.25" x14ac:dyDescent="0.45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ht="14.25" x14ac:dyDescent="0.45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ht="14.25" x14ac:dyDescent="0.45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ht="14.25" x14ac:dyDescent="0.45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ht="14.25" x14ac:dyDescent="0.4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ht="14.25" x14ac:dyDescent="0.45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ht="14.25" x14ac:dyDescent="0.45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ht="14.25" x14ac:dyDescent="0.45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ht="14.25" x14ac:dyDescent="0.45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ht="14.25" x14ac:dyDescent="0.45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ht="14.25" x14ac:dyDescent="0.45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ht="14.25" x14ac:dyDescent="0.45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ht="14.25" x14ac:dyDescent="0.45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ht="14.25" x14ac:dyDescent="0.45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ht="14.25" x14ac:dyDescent="0.4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ht="14.25" x14ac:dyDescent="0.45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ht="14.25" x14ac:dyDescent="0.45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ht="14.25" x14ac:dyDescent="0.45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ht="14.25" x14ac:dyDescent="0.45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ht="14.25" x14ac:dyDescent="0.45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ht="14.25" x14ac:dyDescent="0.45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ht="14.25" x14ac:dyDescent="0.45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ht="14.25" x14ac:dyDescent="0.45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ht="14.25" x14ac:dyDescent="0.45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ht="14.25" x14ac:dyDescent="0.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ht="14.25" x14ac:dyDescent="0.45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ht="14.25" x14ac:dyDescent="0.45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ht="14.25" x14ac:dyDescent="0.45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ht="14.25" x14ac:dyDescent="0.45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ht="14.25" x14ac:dyDescent="0.45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ht="14.25" x14ac:dyDescent="0.45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ht="14.25" x14ac:dyDescent="0.45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ht="14.25" x14ac:dyDescent="0.45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ht="14.25" x14ac:dyDescent="0.45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ht="14.25" x14ac:dyDescent="0.4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ht="14.25" x14ac:dyDescent="0.45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ht="14.25" x14ac:dyDescent="0.45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ht="14.25" x14ac:dyDescent="0.45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ht="14.25" x14ac:dyDescent="0.45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ht="14.25" x14ac:dyDescent="0.45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ht="14.25" x14ac:dyDescent="0.45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ht="14.25" x14ac:dyDescent="0.45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ht="14.25" x14ac:dyDescent="0.45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ht="14.25" x14ac:dyDescent="0.45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ht="14.25" x14ac:dyDescent="0.4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ht="14.25" x14ac:dyDescent="0.45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ht="14.25" x14ac:dyDescent="0.45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ht="14.25" x14ac:dyDescent="0.45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ht="14.25" x14ac:dyDescent="0.45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ht="14.25" x14ac:dyDescent="0.45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ht="14.25" x14ac:dyDescent="0.45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ht="14.25" x14ac:dyDescent="0.45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ht="14.25" x14ac:dyDescent="0.45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ht="14.25" x14ac:dyDescent="0.45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ht="14.25" x14ac:dyDescent="0.4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ht="14.25" x14ac:dyDescent="0.45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ht="14.25" x14ac:dyDescent="0.45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ht="14.25" x14ac:dyDescent="0.45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ht="14.25" x14ac:dyDescent="0.45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ht="14.25" x14ac:dyDescent="0.45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ht="14.25" x14ac:dyDescent="0.45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ht="14.25" x14ac:dyDescent="0.45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ht="14.25" x14ac:dyDescent="0.45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ht="14.25" x14ac:dyDescent="0.45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ht="14.25" x14ac:dyDescent="0.4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ht="14.25" x14ac:dyDescent="0.45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ht="14.25" x14ac:dyDescent="0.45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ht="14.25" x14ac:dyDescent="0.45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ht="14.25" x14ac:dyDescent="0.45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ht="14.25" x14ac:dyDescent="0.45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ht="14.25" x14ac:dyDescent="0.45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ht="14.25" x14ac:dyDescent="0.45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ht="14.25" x14ac:dyDescent="0.45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ht="14.25" x14ac:dyDescent="0.45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ht="14.25" x14ac:dyDescent="0.4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ht="14.25" x14ac:dyDescent="0.45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ht="14.25" x14ac:dyDescent="0.45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ht="14.25" x14ac:dyDescent="0.45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ht="14.25" x14ac:dyDescent="0.45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ht="14.25" x14ac:dyDescent="0.45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6"/>
    </row>
  </sheetData>
  <mergeCells count="3">
    <mergeCell ref="C3:H4"/>
    <mergeCell ref="C15:E17"/>
    <mergeCell ref="G15:K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"/>
  <sheetViews>
    <sheetView workbookViewId="0">
      <selection activeCell="O3" sqref="O3"/>
    </sheetView>
  </sheetViews>
  <sheetFormatPr defaultColWidth="12.59765625" defaultRowHeight="15.75" customHeight="1" x14ac:dyDescent="0.6"/>
  <cols>
    <col min="1" max="1" width="12.6640625" style="38" bestFit="1" customWidth="1"/>
    <col min="2" max="3" width="12.59765625" style="38"/>
    <col min="4" max="7" width="12.6640625" style="38" bestFit="1" customWidth="1"/>
    <col min="8" max="8" width="27.6640625" style="38" bestFit="1" customWidth="1"/>
    <col min="9" max="9" width="12.59765625" style="38"/>
    <col min="10" max="10" width="29.06640625" style="38" customWidth="1"/>
    <col min="11" max="11" width="36.1328125" style="38" customWidth="1"/>
    <col min="12" max="12" width="33.73046875" style="38" customWidth="1"/>
    <col min="13" max="13" width="26.6640625" style="38" customWidth="1"/>
    <col min="14" max="14" width="29.796875" style="38" customWidth="1"/>
    <col min="15" max="15" width="70.33203125" style="38" customWidth="1"/>
    <col min="16" max="16" width="53.73046875" style="38" customWidth="1"/>
    <col min="17" max="16384" width="12.59765625" style="38"/>
  </cols>
  <sheetData>
    <row r="1" spans="1:16" ht="38.25" customHeight="1" x14ac:dyDescent="0.6">
      <c r="A1" s="37" t="s">
        <v>51</v>
      </c>
      <c r="B1" s="37" t="s">
        <v>52</v>
      </c>
      <c r="C1" s="37" t="s">
        <v>53</v>
      </c>
      <c r="D1" s="37" t="s">
        <v>54</v>
      </c>
      <c r="E1" s="37" t="s">
        <v>55</v>
      </c>
      <c r="F1" s="37" t="s">
        <v>56</v>
      </c>
      <c r="G1" s="37" t="s">
        <v>57</v>
      </c>
      <c r="H1" s="37" t="s">
        <v>58</v>
      </c>
      <c r="I1" s="37" t="s">
        <v>59</v>
      </c>
      <c r="J1" s="37" t="s">
        <v>60</v>
      </c>
      <c r="K1" s="37" t="s">
        <v>61</v>
      </c>
      <c r="L1" s="37" t="s">
        <v>62</v>
      </c>
      <c r="M1" s="37" t="s">
        <v>63</v>
      </c>
      <c r="N1" s="37" t="s">
        <v>64</v>
      </c>
      <c r="O1" s="37" t="s">
        <v>65</v>
      </c>
      <c r="P1" s="37" t="s">
        <v>66</v>
      </c>
    </row>
    <row r="2" spans="1:16" ht="17.649999999999999" x14ac:dyDescent="0.6">
      <c r="A2" s="39">
        <v>101</v>
      </c>
      <c r="B2" s="38" t="s">
        <v>67</v>
      </c>
      <c r="C2" s="38" t="s">
        <v>68</v>
      </c>
      <c r="D2" s="39">
        <v>10</v>
      </c>
      <c r="E2" s="39">
        <v>5</v>
      </c>
      <c r="F2" s="39">
        <v>0.05</v>
      </c>
      <c r="G2" s="39">
        <v>0.18</v>
      </c>
      <c r="H2" s="40">
        <v>45778</v>
      </c>
      <c r="I2" s="38" t="s">
        <v>69</v>
      </c>
      <c r="J2" s="39">
        <f>D2*E2</f>
        <v>50</v>
      </c>
      <c r="K2" s="39">
        <f>J2*F2</f>
        <v>2.5</v>
      </c>
      <c r="L2" s="39">
        <f>J2-K2</f>
        <v>47.5</v>
      </c>
      <c r="M2" s="39">
        <f>L2*$G$2</f>
        <v>8.5499999999999989</v>
      </c>
      <c r="N2" s="39">
        <f>L2+M2</f>
        <v>56.05</v>
      </c>
      <c r="O2" s="39">
        <f>SUMIF(I2:I6,"New York",E2:E6)</f>
        <v>12</v>
      </c>
      <c r="P2" s="39">
        <f>L2*$G$2</f>
        <v>8.5499999999999989</v>
      </c>
    </row>
    <row r="3" spans="1:16" ht="17.649999999999999" x14ac:dyDescent="0.6">
      <c r="A3" s="39">
        <v>102</v>
      </c>
      <c r="B3" s="38" t="s">
        <v>70</v>
      </c>
      <c r="C3" s="38" t="s">
        <v>68</v>
      </c>
      <c r="D3" s="39">
        <v>15</v>
      </c>
      <c r="E3" s="39">
        <v>3</v>
      </c>
      <c r="F3" s="39">
        <v>0.1</v>
      </c>
      <c r="H3" s="40">
        <v>45780</v>
      </c>
      <c r="I3" s="38" t="s">
        <v>71</v>
      </c>
      <c r="J3" s="39">
        <f t="shared" ref="J3:J6" si="0">D3*E3</f>
        <v>45</v>
      </c>
      <c r="K3" s="39">
        <f t="shared" ref="K3:K6" si="1">J3*F3</f>
        <v>4.5</v>
      </c>
      <c r="L3" s="39">
        <f t="shared" ref="L3:L6" si="2">J3-K3</f>
        <v>40.5</v>
      </c>
      <c r="M3" s="39">
        <f t="shared" ref="M3:M6" si="3">L3*$G$2</f>
        <v>7.29</v>
      </c>
      <c r="N3" s="39">
        <f t="shared" ref="N3:N6" si="4">L3+M3</f>
        <v>47.79</v>
      </c>
      <c r="P3" s="39">
        <f t="shared" ref="P3:P10" si="5">L3*$G$2</f>
        <v>7.29</v>
      </c>
    </row>
    <row r="4" spans="1:16" ht="17.649999999999999" x14ac:dyDescent="0.6">
      <c r="A4" s="39">
        <v>103</v>
      </c>
      <c r="B4" s="38" t="s">
        <v>72</v>
      </c>
      <c r="C4" s="38" t="s">
        <v>68</v>
      </c>
      <c r="D4" s="39">
        <v>8</v>
      </c>
      <c r="E4" s="39">
        <v>6</v>
      </c>
      <c r="F4" s="39">
        <v>0</v>
      </c>
      <c r="H4" s="40">
        <v>45782</v>
      </c>
      <c r="I4" s="38" t="s">
        <v>73</v>
      </c>
      <c r="J4" s="39">
        <f t="shared" si="0"/>
        <v>48</v>
      </c>
      <c r="K4" s="39">
        <f t="shared" si="1"/>
        <v>0</v>
      </c>
      <c r="L4" s="39">
        <f t="shared" si="2"/>
        <v>48</v>
      </c>
      <c r="M4" s="39">
        <f t="shared" si="3"/>
        <v>8.64</v>
      </c>
      <c r="N4" s="39">
        <f t="shared" si="4"/>
        <v>56.64</v>
      </c>
      <c r="P4" s="39">
        <f t="shared" si="5"/>
        <v>8.64</v>
      </c>
    </row>
    <row r="5" spans="1:16" ht="17.649999999999999" x14ac:dyDescent="0.6">
      <c r="A5" s="39">
        <v>104</v>
      </c>
      <c r="B5" s="38" t="s">
        <v>74</v>
      </c>
      <c r="C5" s="38" t="s">
        <v>68</v>
      </c>
      <c r="D5" s="39">
        <v>12</v>
      </c>
      <c r="E5" s="39">
        <v>4</v>
      </c>
      <c r="F5" s="39">
        <v>0.7</v>
      </c>
      <c r="H5" s="40">
        <v>45784</v>
      </c>
      <c r="I5" s="38" t="s">
        <v>75</v>
      </c>
      <c r="J5" s="39">
        <f t="shared" si="0"/>
        <v>48</v>
      </c>
      <c r="K5" s="39">
        <f t="shared" si="1"/>
        <v>33.599999999999994</v>
      </c>
      <c r="L5" s="39">
        <f t="shared" si="2"/>
        <v>14.400000000000006</v>
      </c>
      <c r="M5" s="39">
        <f t="shared" si="3"/>
        <v>2.592000000000001</v>
      </c>
      <c r="N5" s="39">
        <f t="shared" si="4"/>
        <v>16.992000000000008</v>
      </c>
      <c r="P5" s="39">
        <f t="shared" si="5"/>
        <v>2.592000000000001</v>
      </c>
    </row>
    <row r="6" spans="1:16" ht="17.649999999999999" x14ac:dyDescent="0.6">
      <c r="A6" s="39">
        <v>105</v>
      </c>
      <c r="B6" s="38" t="s">
        <v>76</v>
      </c>
      <c r="C6" s="38" t="s">
        <v>68</v>
      </c>
      <c r="D6" s="39">
        <v>11</v>
      </c>
      <c r="E6" s="39">
        <v>7</v>
      </c>
      <c r="F6" s="39">
        <v>0.03</v>
      </c>
      <c r="H6" s="40">
        <v>45786</v>
      </c>
      <c r="I6" s="38" t="s">
        <v>69</v>
      </c>
      <c r="J6" s="39">
        <f t="shared" si="0"/>
        <v>77</v>
      </c>
      <c r="K6" s="39">
        <f t="shared" si="1"/>
        <v>2.31</v>
      </c>
      <c r="L6" s="39">
        <f t="shared" si="2"/>
        <v>74.69</v>
      </c>
      <c r="M6" s="39">
        <f t="shared" si="3"/>
        <v>13.444199999999999</v>
      </c>
      <c r="N6" s="39">
        <f t="shared" si="4"/>
        <v>88.134199999999993</v>
      </c>
      <c r="P6" s="39">
        <f t="shared" si="5"/>
        <v>13.444199999999999</v>
      </c>
    </row>
    <row r="7" spans="1:16" ht="15.75" customHeight="1" x14ac:dyDescent="0.6">
      <c r="L7" s="39"/>
      <c r="P7" s="39"/>
    </row>
    <row r="8" spans="1:16" ht="15.75" customHeight="1" x14ac:dyDescent="0.6">
      <c r="P8" s="39"/>
    </row>
    <row r="9" spans="1:16" ht="15.75" customHeight="1" x14ac:dyDescent="0.6">
      <c r="P9" s="39"/>
    </row>
    <row r="10" spans="1:16" ht="15.75" customHeight="1" x14ac:dyDescent="0.6">
      <c r="P10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Logical Operator - AND OR</vt:lpstr>
      <vt:lpstr>Logical Operator - ISBLANK</vt:lpstr>
      <vt:lpstr>LEFT RIGHT MID</vt:lpstr>
      <vt:lpstr>CONCATENATE, TEST JOIN, CONCAT</vt:lpstr>
      <vt:lpstr>Practice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Aakash Dharshan</cp:lastModifiedBy>
  <dcterms:modified xsi:type="dcterms:W3CDTF">2026-05-20T16:13:43Z</dcterms:modified>
</cp:coreProperties>
</file>