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36863251-42E6-4382-B6B2-46ED5DEBC16A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1" l="1" a="1"/>
  <c r="I39" i="1" s="1"/>
  <c r="I29" i="1" a="1"/>
  <c r="I29" i="1" s="1"/>
  <c r="I22" i="1" a="1"/>
  <c r="I22" i="1" s="1"/>
  <c r="I15" i="1" a="1"/>
  <c r="I15" i="1" s="1"/>
  <c r="I9" i="1" a="1"/>
  <c r="I9" i="1" s="1"/>
  <c r="I4" i="1" a="1"/>
  <c r="I4" i="1" s="1"/>
  <c r="A34" i="1" a="1"/>
  <c r="A34" i="1" s="1"/>
  <c r="A22" i="1" a="1"/>
  <c r="A22" i="1" s="1"/>
  <c r="A58" i="1" a="1"/>
  <c r="A58" i="1" s="1"/>
  <c r="A46" i="1" a="1"/>
  <c r="A46" i="1" s="1"/>
  <c r="A18" i="1"/>
  <c r="A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<sst xmlns="http://schemas.openxmlformats.org/spreadsheetml/2006/main" count="63" uniqueCount="54">
  <si>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</si>
  <si>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</si>
  <si>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</si>
  <si>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</si>
  <si>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</si>
  <si>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</si>
  <si>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</si>
  <si>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</si>
  <si>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</si>
  <si>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</si>
  <si>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</si>
  <si>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</si>
  <si>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</si>
  <si>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</si>
  <si>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</si>
  <si>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</si>
  <si>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</si>
  <si>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</si>
  <si>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</si>
  <si>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</si>
  <si>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</si>
  <si>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</si>
  <si>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</si>
  <si>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</si>
  <si>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</si>
  <si>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</si>
  <si>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</si>
  <si>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</si>
  <si>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</si>
  <si>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</si>
  <si>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</si>
  <si>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</si>
  <si>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</si>
  <si>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</si>
  <si>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</si>
  <si>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</si>
  <si>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</si>
  <si>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INDEX + MATCH</t>
  </si>
  <si>
    <t>1.Find the salary of the employee with Emp ID “E006”.</t>
  </si>
  <si>
    <t>Find the department of “John Paul” using MATCH + INDEX</t>
  </si>
  <si>
    <t>SORT / SORTBY</t>
  </si>
  <si>
    <t>Sort the entire table by Salary in descending order using SORT</t>
  </si>
  <si>
    <t>Sort employees alphabetically by Employee Name</t>
  </si>
  <si>
    <t>Sort employees by Department (A–Z) and then Salary (lowest to highest).</t>
  </si>
  <si>
    <t>Sort employees by Joining Year (oldest to newest).</t>
  </si>
  <si>
    <t xml:space="preserve">FILTER </t>
  </si>
  <si>
    <t>Filter only employees who work in the IT department</t>
  </si>
  <si>
    <t>Filter employees who earn more than 60,000</t>
  </si>
  <si>
    <t>Filter employees located in Delhi</t>
  </si>
  <si>
    <t>UNIQUE / SEQUENCE</t>
  </si>
  <si>
    <t>Return a list of unique departments using UNIQUE.</t>
  </si>
  <si>
    <t>Generate a sequence of joining years from 2018 to 2023 using SEQUENCE</t>
  </si>
  <si>
    <t>RANDARRAY</t>
  </si>
  <si>
    <t>1.	Generate 10 random salary values between 40,000 and 80,000 using RANDARRAY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</si>
</sst>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7"/>
  <sheetViews>
    <sheetView tabSelected="1" topLeftCell="B1" workbookViewId="0">
      <selection activeCell="L48" sqref="L48"/>
    </sheetView>
  </sheetViews>
  <sheetFormatPr defaultColWidth="12.59765625" defaultRowHeight="15.75" customHeight="1"/>
  <cols>
    <col min="1" max="1" width="17" style="2" customWidth="1"/>
    <col min="2" max="2" width="15" style="2" customWidth="1"/>
    <col min="3" max="16384" width="12.59765625" style="2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/>
    </row>
    <row r="2" spans="1:14" ht="13.9">
      <c r="A2" s="3" t="s">
        <v>6</v>
      </c>
      <c r="B2" s="3" t="s">
        <v>7</v>
      </c>
      <c r="C2" s="3" t="s">
        <v>8</v>
      </c>
      <c r="D2" s="3">
        <v>55000</v>
      </c>
      <c r="E2" s="3" t="s">
        <v>9</v>
      </c>
      <c r="F2" s="3">
        <v>2021</v>
      </c>
      <c r="G2" s="8"/>
      <c r="I2" s="4" t="s">
        <v>45</v>
      </c>
    </row>
    <row r="3" spans="1:14" ht="13.5">
      <c r="A3" s="3" t="s">
        <v>10</v>
      </c>
      <c r="B3" s="3" t="s">
        <v>11</v>
      </c>
      <c r="C3" s="3" t="s">
        <v>12</v>
      </c>
      <c r="D3" s="3">
        <v>48000</v>
      </c>
      <c r="E3" s="3" t="s">
        <v>13</v>
      </c>
      <c r="F3" s="3">
        <v>2019</v>
      </c>
      <c r="G3" s="8"/>
      <c r="I3" s="6" t="s">
        <v>46</v>
      </c>
    </row>
    <row r="4" spans="1:14" ht="13.5">
      <c r="A4" s="3" t="s">
        <v>14</v>
      </c>
      <c r="B4" s="3" t="s">
        <v>15</v>
      </c>
      <c r="C4" s="3" t="s">
        <v>16</v>
      </c>
      <c r="D4" s="3">
        <v>72000</v>
      </c>
      <c r="E4" s="3" t="s">
        <v>17</v>
      </c>
      <c r="F4" s="3">
        <v>2020</v>
      </c>
      <c r="G4" s="8"/>
      <c r="I4" s="2" t="str" cm="1">
        <f t="array" ref="I4:N6">_xlfn._xlws.FILTER(A2:F11,C2:C11="IT")</f>
        <v>E003</v>
      </c>
      <c r="J4" s="2" t="str">
        <v>David Mathews</v>
      </c>
      <c r="K4" s="2" t="str">
        <v>IT</v>
      </c>
      <c r="L4" s="2">
        <v>72000</v>
      </c>
      <c r="M4" s="2" t="str">
        <v>Bangalore</v>
      </c>
      <c r="N4" s="2">
        <v>2020</v>
      </c>
    </row>
    <row r="5" spans="1:14" ht="13.5">
      <c r="A5" s="3" t="s">
        <v>18</v>
      </c>
      <c r="B5" s="3" t="s">
        <v>19</v>
      </c>
      <c r="C5" s="3" t="s">
        <v>16</v>
      </c>
      <c r="D5" s="3">
        <v>69000</v>
      </c>
      <c r="E5" s="3" t="s">
        <v>20</v>
      </c>
      <c r="F5" s="3">
        <v>2022</v>
      </c>
      <c r="G5" s="8"/>
      <c r="I5" s="2" t="str">
        <v>E004</v>
      </c>
      <c r="J5" s="2" t="str">
        <v>Priya R</v>
      </c>
      <c r="K5" s="2" t="str">
        <v>IT</v>
      </c>
      <c r="L5" s="2">
        <v>69000</v>
      </c>
      <c r="M5" s="2" t="str">
        <v>Pune</v>
      </c>
      <c r="N5" s="2">
        <v>2022</v>
      </c>
    </row>
    <row r="6" spans="1:14" ht="13.5">
      <c r="A6" s="3" t="s">
        <v>21</v>
      </c>
      <c r="B6" s="3" t="s">
        <v>22</v>
      </c>
      <c r="C6" s="3" t="s">
        <v>23</v>
      </c>
      <c r="D6" s="3">
        <v>58000</v>
      </c>
      <c r="E6" s="3" t="s">
        <v>9</v>
      </c>
      <c r="F6" s="3">
        <v>2021</v>
      </c>
      <c r="G6" s="8"/>
      <c r="I6" s="2" t="str">
        <v>E009</v>
      </c>
      <c r="J6" s="2" t="str">
        <v>Rohan Mehta</v>
      </c>
      <c r="K6" s="2" t="str">
        <v>IT</v>
      </c>
      <c r="L6" s="2">
        <v>73000</v>
      </c>
      <c r="M6" s="2" t="str">
        <v>Hyderabad</v>
      </c>
      <c r="N6" s="2">
        <v>2019</v>
      </c>
    </row>
    <row r="7" spans="1:14" ht="13.5">
      <c r="A7" s="3" t="s">
        <v>24</v>
      </c>
      <c r="B7" s="3" t="s">
        <v>25</v>
      </c>
      <c r="C7" s="3" t="s">
        <v>26</v>
      </c>
      <c r="D7" s="3">
        <v>51000</v>
      </c>
      <c r="E7" s="3" t="s">
        <v>27</v>
      </c>
      <c r="F7" s="3">
        <v>2018</v>
      </c>
      <c r="G7" s="8"/>
    </row>
    <row r="8" spans="1:14" ht="13.5">
      <c r="A8" s="3" t="s">
        <v>28</v>
      </c>
      <c r="B8" s="3" t="s">
        <v>29</v>
      </c>
      <c r="C8" s="3" t="s">
        <v>8</v>
      </c>
      <c r="D8" s="3">
        <v>60000</v>
      </c>
      <c r="E8" s="3" t="s">
        <v>13</v>
      </c>
      <c r="F8" s="3">
        <v>2023</v>
      </c>
      <c r="G8" s="8"/>
      <c r="I8" s="6" t="s">
        <v>47</v>
      </c>
    </row>
    <row r="9" spans="1:14" ht="13.5">
      <c r="A9" s="3" t="s">
        <v>30</v>
      </c>
      <c r="B9" s="3" t="s">
        <v>31</v>
      </c>
      <c r="C9" s="3" t="s">
        <v>12</v>
      </c>
      <c r="D9" s="3">
        <v>47000</v>
      </c>
      <c r="E9" s="3" t="s">
        <v>17</v>
      </c>
      <c r="F9" s="3">
        <v>2022</v>
      </c>
      <c r="G9" s="8"/>
      <c r="I9" s="2" t="str" cm="1">
        <f t="array" ref="I9:N12">_xlfn._xlws.FILTER(A2:F11,D2:D11&gt;=60000)</f>
        <v>E003</v>
      </c>
      <c r="J9" s="2" t="str">
        <v>David Mathews</v>
      </c>
      <c r="K9" s="2" t="str">
        <v>IT</v>
      </c>
      <c r="L9" s="2">
        <v>72000</v>
      </c>
      <c r="M9" s="2" t="str">
        <v>Bangalore</v>
      </c>
      <c r="N9" s="2">
        <v>2020</v>
      </c>
    </row>
    <row r="10" spans="1:14" ht="13.5">
      <c r="A10" s="3" t="s">
        <v>32</v>
      </c>
      <c r="B10" s="3" t="s">
        <v>33</v>
      </c>
      <c r="C10" s="3" t="s">
        <v>16</v>
      </c>
      <c r="D10" s="3">
        <v>73000</v>
      </c>
      <c r="E10" s="3" t="s">
        <v>34</v>
      </c>
      <c r="F10" s="3">
        <v>2019</v>
      </c>
      <c r="G10" s="8"/>
      <c r="I10" s="2" t="str">
        <v>E004</v>
      </c>
      <c r="J10" s="2" t="str">
        <v>Priya R</v>
      </c>
      <c r="K10" s="2" t="str">
        <v>IT</v>
      </c>
      <c r="L10" s="2">
        <v>69000</v>
      </c>
      <c r="M10" s="2" t="str">
        <v>Pune</v>
      </c>
      <c r="N10" s="2">
        <v>2022</v>
      </c>
    </row>
    <row r="11" spans="1:14" ht="13.5">
      <c r="A11" s="3" t="s">
        <v>35</v>
      </c>
      <c r="B11" s="3" t="s">
        <v>36</v>
      </c>
      <c r="C11" s="3" t="s">
        <v>23</v>
      </c>
      <c r="D11" s="3">
        <v>54000</v>
      </c>
      <c r="E11" s="3" t="s">
        <v>9</v>
      </c>
      <c r="F11" s="3">
        <v>2020</v>
      </c>
      <c r="G11" s="8"/>
      <c r="I11" s="2" t="str">
        <v>E007</v>
      </c>
      <c r="J11" s="2" t="str">
        <v>John Paul</v>
      </c>
      <c r="K11" s="2" t="str">
        <v>Sales</v>
      </c>
      <c r="L11" s="2">
        <v>60000</v>
      </c>
      <c r="M11" s="2" t="str">
        <v>Mumbai</v>
      </c>
      <c r="N11" s="2">
        <v>2023</v>
      </c>
    </row>
    <row r="12" spans="1:14" ht="15.75" customHeight="1">
      <c r="I12" s="2" t="str">
        <v>E009</v>
      </c>
      <c r="J12" s="2" t="str">
        <v>Rohan Mehta</v>
      </c>
      <c r="K12" s="2" t="str">
        <v>IT</v>
      </c>
      <c r="L12" s="2">
        <v>73000</v>
      </c>
      <c r="M12" s="2" t="str">
        <v>Hyderabad</v>
      </c>
      <c r="N12" s="2">
        <v>2019</v>
      </c>
    </row>
    <row r="13" spans="1:14" ht="15.75" customHeight="1">
      <c r="A13" s="4" t="s">
        <v>37</v>
      </c>
    </row>
    <row r="14" spans="1:14" ht="15.75" customHeight="1">
      <c r="A14" s="2" t="s">
        <v>38</v>
      </c>
      <c r="I14" s="6" t="s">
        <v>48</v>
      </c>
    </row>
    <row r="15" spans="1:14" ht="15.75" customHeight="1">
      <c r="A15" s="4">
        <f>INDEX(A2:F11,6,4)</f>
        <v>51000</v>
      </c>
      <c r="I15" s="2" t="str" cm="1">
        <f t="array" ref="I15:N17">_xlfn._xlws.FILTER(A2:F11,E2:E11="Delhi")</f>
        <v>E001</v>
      </c>
      <c r="J15" s="2" t="str">
        <v>Rahul Sharma</v>
      </c>
      <c r="K15" s="2" t="str">
        <v>Sales</v>
      </c>
      <c r="L15" s="2">
        <v>55000</v>
      </c>
      <c r="M15" s="2" t="str">
        <v>Delhi</v>
      </c>
      <c r="N15" s="2">
        <v>2021</v>
      </c>
    </row>
    <row r="16" spans="1:14" ht="15.75" customHeight="1">
      <c r="I16" s="2" t="str">
        <v>E005</v>
      </c>
      <c r="J16" s="2" t="str">
        <v>Sunil Kumar</v>
      </c>
      <c r="K16" s="2" t="str">
        <v>Finance</v>
      </c>
      <c r="L16" s="2">
        <v>58000</v>
      </c>
      <c r="M16" s="2" t="str">
        <v>Delhi</v>
      </c>
      <c r="N16" s="2">
        <v>2021</v>
      </c>
    </row>
    <row r="17" spans="1:14" ht="15.75" customHeight="1">
      <c r="A17" s="5" t="s">
        <v>39</v>
      </c>
      <c r="I17" s="2" t="str">
        <v>E010</v>
      </c>
      <c r="J17" s="2" t="str">
        <v>Aman Verma</v>
      </c>
      <c r="K17" s="2" t="str">
        <v>Finance</v>
      </c>
      <c r="L17" s="2">
        <v>54000</v>
      </c>
      <c r="M17" s="2" t="str">
        <v>Delhi</v>
      </c>
      <c r="N17" s="2">
        <v>2020</v>
      </c>
    </row>
    <row r="18" spans="1:14" ht="15.75" customHeight="1">
      <c r="A18" s="2" t="str">
        <f>INDEX(C2:C11,MATCH(B8,B2:B11,0))</f>
        <v>Sales</v>
      </c>
    </row>
    <row r="20" spans="1:14" ht="15.75" customHeight="1">
      <c r="A20" s="4" t="s">
        <v>40</v>
      </c>
      <c r="I20" s="4" t="s">
        <v>49</v>
      </c>
    </row>
    <row r="21" spans="1:14" ht="15.75" customHeight="1">
      <c r="A21" s="6" t="s">
        <v>41</v>
      </c>
      <c r="I21" s="6" t="s">
        <v>50</v>
      </c>
    </row>
    <row r="22" spans="1:14" ht="15.75" customHeight="1">
      <c r="A22" s="2" t="str" cm="1">
        <f t="array" ref="A22:F32">_xlfn._xlws.SORT(A1:F11,4,-1)</f>
        <v>Emp ID</v>
      </c>
      <c r="B22" s="2" t="str">
        <v>Employee Name</v>
      </c>
      <c r="C22" s="2" t="str">
        <v>Department</v>
      </c>
      <c r="D22" s="2" t="str">
        <v>Salary</v>
      </c>
      <c r="E22" s="2" t="str">
        <v>Location</v>
      </c>
      <c r="F22" s="2" t="str">
        <v>Joining Year</v>
      </c>
      <c r="I22" s="2" t="str" cm="1">
        <f t="array" ref="I22:I26">_xlfn.UNIQUE(C2:C11,FALSE,FALSE)</f>
        <v>Sales</v>
      </c>
    </row>
    <row r="23" spans="1:14" ht="15.75" customHeight="1">
      <c r="A23" s="2" t="str">
        <v>E009</v>
      </c>
      <c r="B23" s="2" t="str">
        <v>Rohan Mehta</v>
      </c>
      <c r="C23" s="2" t="str">
        <v>IT</v>
      </c>
      <c r="D23" s="2">
        <v>73000</v>
      </c>
      <c r="E23" s="2" t="str">
        <v>Hyderabad</v>
      </c>
      <c r="F23" s="2">
        <v>2019</v>
      </c>
      <c r="I23" s="2" t="str">
        <v>HR</v>
      </c>
    </row>
    <row r="24" spans="1:14" ht="15.75" customHeight="1">
      <c r="A24" s="2" t="str">
        <v>E003</v>
      </c>
      <c r="B24" s="2" t="str">
        <v>David Mathews</v>
      </c>
      <c r="C24" s="2" t="str">
        <v>IT</v>
      </c>
      <c r="D24" s="2">
        <v>72000</v>
      </c>
      <c r="E24" s="2" t="str">
        <v>Bangalore</v>
      </c>
      <c r="F24" s="2">
        <v>2020</v>
      </c>
      <c r="I24" s="2" t="str">
        <v>IT</v>
      </c>
    </row>
    <row r="25" spans="1:14" ht="15.75" customHeight="1">
      <c r="A25" s="2" t="str">
        <v>E004</v>
      </c>
      <c r="B25" s="2" t="str">
        <v>Priya R</v>
      </c>
      <c r="C25" s="2" t="str">
        <v>IT</v>
      </c>
      <c r="D25" s="2">
        <v>69000</v>
      </c>
      <c r="E25" s="2" t="str">
        <v>Pune</v>
      </c>
      <c r="F25" s="2">
        <v>2022</v>
      </c>
      <c r="I25" s="2" t="str">
        <v>Finance</v>
      </c>
    </row>
    <row r="26" spans="1:14" ht="15.75" customHeight="1">
      <c r="A26" s="2" t="str">
        <v>E007</v>
      </c>
      <c r="B26" s="2" t="str">
        <v>John Paul</v>
      </c>
      <c r="C26" s="2" t="str">
        <v>Sales</v>
      </c>
      <c r="D26" s="2">
        <v>60000</v>
      </c>
      <c r="E26" s="2" t="str">
        <v>Mumbai</v>
      </c>
      <c r="F26" s="2">
        <v>2023</v>
      </c>
      <c r="I26" s="2" t="str">
        <v>Marketing</v>
      </c>
    </row>
    <row r="27" spans="1:14" ht="15.75" customHeight="1">
      <c r="A27" s="2" t="str">
        <v>E005</v>
      </c>
      <c r="B27" s="2" t="str">
        <v>Sunil Kumar</v>
      </c>
      <c r="C27" s="2" t="str">
        <v>Finance</v>
      </c>
      <c r="D27" s="2">
        <v>58000</v>
      </c>
      <c r="E27" s="2" t="str">
        <v>Delhi</v>
      </c>
      <c r="F27" s="2">
        <v>2021</v>
      </c>
    </row>
    <row r="28" spans="1:14" ht="15.75" customHeight="1">
      <c r="A28" s="2" t="str">
        <v>E001</v>
      </c>
      <c r="B28" s="2" t="str">
        <v>Rahul Sharma</v>
      </c>
      <c r="C28" s="2" t="str">
        <v>Sales</v>
      </c>
      <c r="D28" s="2">
        <v>55000</v>
      </c>
      <c r="E28" s="2" t="str">
        <v>Delhi</v>
      </c>
      <c r="F28" s="2">
        <v>2021</v>
      </c>
      <c r="I28" s="6" t="s">
        <v>51</v>
      </c>
    </row>
    <row r="29" spans="1:14" ht="15.75" customHeight="1">
      <c r="A29" s="2" t="str">
        <v>E010</v>
      </c>
      <c r="B29" s="2" t="str">
        <v>Aman Verma</v>
      </c>
      <c r="C29" s="2" t="str">
        <v>Finance</v>
      </c>
      <c r="D29" s="2">
        <v>54000</v>
      </c>
      <c r="E29" s="2" t="str">
        <v>Delhi</v>
      </c>
      <c r="F29" s="2">
        <v>2020</v>
      </c>
      <c r="I29" s="2" cm="1">
        <f t="array" ref="I29:I34">_xlfn.SEQUENCE(6,1,2018,1)</f>
        <v>2018</v>
      </c>
    </row>
    <row r="30" spans="1:14" ht="15.75" customHeight="1">
      <c r="A30" s="2" t="str">
        <v>E006</v>
      </c>
      <c r="B30" s="2" t="str">
        <v>Maria Lopez</v>
      </c>
      <c r="C30" s="2" t="str">
        <v>Marketing</v>
      </c>
      <c r="D30" s="2">
        <v>51000</v>
      </c>
      <c r="E30" s="2" t="str">
        <v>Chennai</v>
      </c>
      <c r="F30" s="2">
        <v>2018</v>
      </c>
      <c r="I30" s="2">
        <v>2019</v>
      </c>
    </row>
    <row r="31" spans="1:14" ht="15.75" customHeight="1">
      <c r="A31" s="2" t="str">
        <v>E002</v>
      </c>
      <c r="B31" s="2" t="str">
        <v>Anita Singh</v>
      </c>
      <c r="C31" s="2" t="str">
        <v>HR</v>
      </c>
      <c r="D31" s="2">
        <v>48000</v>
      </c>
      <c r="E31" s="2" t="str">
        <v>Mumbai</v>
      </c>
      <c r="F31" s="2">
        <v>2019</v>
      </c>
      <c r="I31" s="2">
        <v>2020</v>
      </c>
    </row>
    <row r="32" spans="1:14" ht="15.75" customHeight="1">
      <c r="A32" s="2" t="str">
        <v>E008</v>
      </c>
      <c r="B32" s="2" t="str">
        <v>Khushi Jain</v>
      </c>
      <c r="C32" s="2" t="str">
        <v>HR</v>
      </c>
      <c r="D32" s="2">
        <v>47000</v>
      </c>
      <c r="E32" s="2" t="str">
        <v>Bangalore</v>
      </c>
      <c r="F32" s="2">
        <v>2022</v>
      </c>
      <c r="I32" s="2">
        <v>2021</v>
      </c>
    </row>
    <row r="33" spans="1:9" ht="15.75" customHeight="1">
      <c r="A33" s="6" t="s">
        <v>42</v>
      </c>
      <c r="I33" s="2">
        <v>2022</v>
      </c>
    </row>
    <row r="34" spans="1:9" ht="15.75" customHeight="1">
      <c r="A34" s="2" t="str" cm="1">
        <f t="array" ref="A34:F43">_xlfn._xlws.SORT(A2:F11,2,1)</f>
        <v>E010</v>
      </c>
      <c r="B34" s="2" t="str">
        <v>Aman Verma</v>
      </c>
      <c r="C34" s="2" t="str">
        <v>Finance</v>
      </c>
      <c r="D34" s="2">
        <v>54000</v>
      </c>
      <c r="E34" s="2" t="str">
        <v>Delhi</v>
      </c>
      <c r="F34" s="2">
        <v>2020</v>
      </c>
      <c r="I34" s="2">
        <v>2023</v>
      </c>
    </row>
    <row r="35" spans="1:9" ht="15.75" customHeight="1">
      <c r="A35" s="2" t="str">
        <v>E002</v>
      </c>
      <c r="B35" s="2" t="str">
        <v>Anita Singh</v>
      </c>
      <c r="C35" s="2" t="str">
        <v>HR</v>
      </c>
      <c r="D35" s="2">
        <v>48000</v>
      </c>
      <c r="E35" s="2" t="str">
        <v>Mumbai</v>
      </c>
      <c r="F35" s="2">
        <v>2019</v>
      </c>
    </row>
    <row r="36" spans="1:9" ht="15.75" customHeight="1">
      <c r="A36" s="2" t="str">
        <v>E003</v>
      </c>
      <c r="B36" s="2" t="str">
        <v>David Mathews</v>
      </c>
      <c r="C36" s="2" t="str">
        <v>IT</v>
      </c>
      <c r="D36" s="2">
        <v>72000</v>
      </c>
      <c r="E36" s="2" t="str">
        <v>Bangalore</v>
      </c>
      <c r="F36" s="2">
        <v>2020</v>
      </c>
    </row>
    <row r="37" spans="1:9" ht="15.75" customHeight="1">
      <c r="A37" s="2" t="str">
        <v>E007</v>
      </c>
      <c r="B37" s="2" t="str">
        <v>John Paul</v>
      </c>
      <c r="C37" s="2" t="str">
        <v>Sales</v>
      </c>
      <c r="D37" s="2">
        <v>60000</v>
      </c>
      <c r="E37" s="2" t="str">
        <v>Mumbai</v>
      </c>
      <c r="F37" s="2">
        <v>2023</v>
      </c>
      <c r="I37" s="4" t="s">
        <v>52</v>
      </c>
    </row>
    <row r="38" spans="1:9" ht="15.75" customHeight="1">
      <c r="A38" s="2" t="str">
        <v>E008</v>
      </c>
      <c r="B38" s="2" t="str">
        <v>Khushi Jain</v>
      </c>
      <c r="C38" s="2" t="str">
        <v>HR</v>
      </c>
      <c r="D38" s="2">
        <v>47000</v>
      </c>
      <c r="E38" s="2" t="str">
        <v>Bangalore</v>
      </c>
      <c r="F38" s="2">
        <v>2022</v>
      </c>
      <c r="I38" s="6" t="s">
        <v>53</v>
      </c>
    </row>
    <row r="39" spans="1:9" ht="15.75" customHeight="1">
      <c r="A39" s="2" t="str">
        <v>E006</v>
      </c>
      <c r="B39" s="2" t="str">
        <v>Maria Lopez</v>
      </c>
      <c r="C39" s="2" t="str">
        <v>Marketing</v>
      </c>
      <c r="D39" s="2">
        <v>51000</v>
      </c>
      <c r="E39" s="2" t="str">
        <v>Chennai</v>
      </c>
      <c r="F39" s="2">
        <v>2018</v>
      </c>
      <c r="I39" s="2" cm="1">
        <f t="array" aca="1" ref="I39:I48" ca="1">_xlfn.RANDARRAY(10,1,40000,80000,TRUE)</f>
        <v>74603</v>
      </c>
    </row>
    <row r="40" spans="1:9" ht="15.75" customHeight="1">
      <c r="A40" s="2" t="str">
        <v>E004</v>
      </c>
      <c r="B40" s="2" t="str">
        <v>Priya R</v>
      </c>
      <c r="C40" s="2" t="str">
        <v>IT</v>
      </c>
      <c r="D40" s="2">
        <v>69000</v>
      </c>
      <c r="E40" s="2" t="str">
        <v>Pune</v>
      </c>
      <c r="F40" s="2">
        <v>2022</v>
      </c>
      <c r="I40" s="2">
        <f ca="1"/>
        <v>55495</v>
      </c>
    </row>
    <row r="41" spans="1:9" ht="15.75" customHeight="1">
      <c r="A41" s="2" t="str">
        <v>E001</v>
      </c>
      <c r="B41" s="2" t="str">
        <v>Rahul Sharma</v>
      </c>
      <c r="C41" s="2" t="str">
        <v>Sales</v>
      </c>
      <c r="D41" s="2">
        <v>55000</v>
      </c>
      <c r="E41" s="2" t="str">
        <v>Delhi</v>
      </c>
      <c r="F41" s="2">
        <v>2021</v>
      </c>
      <c r="I41" s="2">
        <f ca="1"/>
        <v>75975</v>
      </c>
    </row>
    <row r="42" spans="1:9" ht="15.75" customHeight="1">
      <c r="A42" s="2" t="str">
        <v>E009</v>
      </c>
      <c r="B42" s="2" t="str">
        <v>Rohan Mehta</v>
      </c>
      <c r="C42" s="2" t="str">
        <v>IT</v>
      </c>
      <c r="D42" s="2">
        <v>73000</v>
      </c>
      <c r="E42" s="2" t="str">
        <v>Hyderabad</v>
      </c>
      <c r="F42" s="2">
        <v>2019</v>
      </c>
      <c r="I42" s="2">
        <f ca="1"/>
        <v>65252</v>
      </c>
    </row>
    <row r="43" spans="1:9" ht="15.75" customHeight="1">
      <c r="A43" s="2" t="str">
        <v>E005</v>
      </c>
      <c r="B43" s="2" t="str">
        <v>Sunil Kumar</v>
      </c>
      <c r="C43" s="2" t="str">
        <v>Finance</v>
      </c>
      <c r="D43" s="2">
        <v>58000</v>
      </c>
      <c r="E43" s="2" t="str">
        <v>Delhi</v>
      </c>
      <c r="F43" s="2">
        <v>2021</v>
      </c>
      <c r="I43" s="2">
        <f ca="1"/>
        <v>50934</v>
      </c>
    </row>
    <row r="44" spans="1:9" ht="15.75" customHeight="1">
      <c r="I44" s="2">
        <f ca="1"/>
        <v>53122</v>
      </c>
    </row>
    <row r="45" spans="1:9" ht="15.75" customHeight="1">
      <c r="A45" s="6" t="s">
        <v>43</v>
      </c>
      <c r="I45" s="2">
        <f ca="1"/>
        <v>68072</v>
      </c>
    </row>
    <row r="46" spans="1:9" ht="15.75" customHeight="1">
      <c r="A46" s="2" t="str" cm="1">
        <f t="array" ref="A46:F55">_xlfn.SORTBY(A2:F11,C2:C11,1,D2:D11,1)</f>
        <v>E010</v>
      </c>
      <c r="B46" s="2" t="str">
        <v>Aman Verma</v>
      </c>
      <c r="C46" s="2" t="str">
        <v>Finance</v>
      </c>
      <c r="D46" s="2">
        <v>54000</v>
      </c>
      <c r="E46" s="2" t="str">
        <v>Delhi</v>
      </c>
      <c r="F46" s="2">
        <v>2020</v>
      </c>
      <c r="I46" s="2">
        <f ca="1"/>
        <v>45228</v>
      </c>
    </row>
    <row r="47" spans="1:9" ht="15.75" customHeight="1">
      <c r="A47" s="2" t="str">
        <v>E005</v>
      </c>
      <c r="B47" s="2" t="str">
        <v>Sunil Kumar</v>
      </c>
      <c r="C47" s="2" t="str">
        <v>Finance</v>
      </c>
      <c r="D47" s="2">
        <v>58000</v>
      </c>
      <c r="E47" s="2" t="str">
        <v>Delhi</v>
      </c>
      <c r="F47" s="2">
        <v>2021</v>
      </c>
      <c r="I47" s="2">
        <f ca="1"/>
        <v>54178</v>
      </c>
    </row>
    <row r="48" spans="1:9" ht="15.75" customHeight="1">
      <c r="A48" s="2" t="str">
        <v>E008</v>
      </c>
      <c r="B48" s="2" t="str">
        <v>Khushi Jain</v>
      </c>
      <c r="C48" s="2" t="str">
        <v>HR</v>
      </c>
      <c r="D48" s="2">
        <v>47000</v>
      </c>
      <c r="E48" s="2" t="str">
        <v>Bangalore</v>
      </c>
      <c r="F48" s="2">
        <v>2022</v>
      </c>
      <c r="I48" s="2">
        <f ca="1"/>
        <v>76039</v>
      </c>
    </row>
    <row r="49" spans="1:6" ht="15.75" customHeight="1">
      <c r="A49" s="2" t="str">
        <v>E002</v>
      </c>
      <c r="B49" s="2" t="str">
        <v>Anita Singh</v>
      </c>
      <c r="C49" s="2" t="str">
        <v>HR</v>
      </c>
      <c r="D49" s="2">
        <v>48000</v>
      </c>
      <c r="E49" s="2" t="str">
        <v>Mumbai</v>
      </c>
      <c r="F49" s="2">
        <v>2019</v>
      </c>
    </row>
    <row r="50" spans="1:6" ht="15.75" customHeight="1">
      <c r="A50" s="2" t="str">
        <v>E004</v>
      </c>
      <c r="B50" s="2" t="str">
        <v>Priya R</v>
      </c>
      <c r="C50" s="2" t="str">
        <v>IT</v>
      </c>
      <c r="D50" s="2">
        <v>69000</v>
      </c>
      <c r="E50" s="2" t="str">
        <v>Pune</v>
      </c>
      <c r="F50" s="2">
        <v>2022</v>
      </c>
    </row>
    <row r="51" spans="1:6" ht="15.75" customHeight="1">
      <c r="A51" s="2" t="str">
        <v>E003</v>
      </c>
      <c r="B51" s="2" t="str">
        <v>David Mathews</v>
      </c>
      <c r="C51" s="2" t="str">
        <v>IT</v>
      </c>
      <c r="D51" s="2">
        <v>72000</v>
      </c>
      <c r="E51" s="2" t="str">
        <v>Bangalore</v>
      </c>
      <c r="F51" s="2">
        <v>2020</v>
      </c>
    </row>
    <row r="52" spans="1:6" ht="15.75" customHeight="1">
      <c r="A52" s="2" t="str">
        <v>E009</v>
      </c>
      <c r="B52" s="2" t="str">
        <v>Rohan Mehta</v>
      </c>
      <c r="C52" s="2" t="str">
        <v>IT</v>
      </c>
      <c r="D52" s="2">
        <v>73000</v>
      </c>
      <c r="E52" s="2" t="str">
        <v>Hyderabad</v>
      </c>
      <c r="F52" s="2">
        <v>2019</v>
      </c>
    </row>
    <row r="53" spans="1:6" ht="15.75" customHeight="1">
      <c r="A53" s="2" t="str">
        <v>E006</v>
      </c>
      <c r="B53" s="2" t="str">
        <v>Maria Lopez</v>
      </c>
      <c r="C53" s="2" t="str">
        <v>Marketing</v>
      </c>
      <c r="D53" s="2">
        <v>51000</v>
      </c>
      <c r="E53" s="2" t="str">
        <v>Chennai</v>
      </c>
      <c r="F53" s="2">
        <v>2018</v>
      </c>
    </row>
    <row r="54" spans="1:6" ht="15.75" customHeight="1">
      <c r="A54" s="2" t="str">
        <v>E001</v>
      </c>
      <c r="B54" s="2" t="str">
        <v>Rahul Sharma</v>
      </c>
      <c r="C54" s="2" t="str">
        <v>Sales</v>
      </c>
      <c r="D54" s="2">
        <v>55000</v>
      </c>
      <c r="E54" s="2" t="str">
        <v>Delhi</v>
      </c>
      <c r="F54" s="2">
        <v>2021</v>
      </c>
    </row>
    <row r="55" spans="1:6" ht="15.75" customHeight="1">
      <c r="A55" s="2" t="str">
        <v>E007</v>
      </c>
      <c r="B55" s="2" t="str">
        <v>John Paul</v>
      </c>
      <c r="C55" s="2" t="str">
        <v>Sales</v>
      </c>
      <c r="D55" s="2">
        <v>60000</v>
      </c>
      <c r="E55" s="2" t="str">
        <v>Mumbai</v>
      </c>
      <c r="F55" s="2">
        <v>2023</v>
      </c>
    </row>
    <row r="57" spans="1:6" ht="15.75" customHeight="1">
      <c r="A57" s="6" t="s">
        <v>44</v>
      </c>
    </row>
    <row r="58" spans="1:6" ht="15.75" customHeight="1">
      <c r="A58" s="2" t="str" cm="1">
        <f t="array" ref="A58:F67">_xlfn.SORTBY(A2:F11,F2:F11,1)</f>
        <v>E006</v>
      </c>
      <c r="B58" s="2" t="str">
        <v>Maria Lopez</v>
      </c>
      <c r="C58" s="2" t="str">
        <v>Marketing</v>
      </c>
      <c r="D58" s="2">
        <v>51000</v>
      </c>
      <c r="E58" s="2" t="str">
        <v>Chennai</v>
      </c>
      <c r="F58" s="2">
        <v>2018</v>
      </c>
    </row>
    <row r="59" spans="1:6" ht="15.75" customHeight="1">
      <c r="A59" s="2" t="str">
        <v>E002</v>
      </c>
      <c r="B59" s="2" t="str">
        <v>Anita Singh</v>
      </c>
      <c r="C59" s="2" t="str">
        <v>HR</v>
      </c>
      <c r="D59" s="2">
        <v>48000</v>
      </c>
      <c r="E59" s="2" t="str">
        <v>Mumbai</v>
      </c>
      <c r="F59" s="2">
        <v>2019</v>
      </c>
    </row>
    <row r="60" spans="1:6" ht="15.75" customHeight="1">
      <c r="A60" s="2" t="str">
        <v>E009</v>
      </c>
      <c r="B60" s="2" t="str">
        <v>Rohan Mehta</v>
      </c>
      <c r="C60" s="2" t="str">
        <v>IT</v>
      </c>
      <c r="D60" s="2">
        <v>73000</v>
      </c>
      <c r="E60" s="2" t="str">
        <v>Hyderabad</v>
      </c>
      <c r="F60" s="2">
        <v>2019</v>
      </c>
    </row>
    <row r="61" spans="1:6" ht="15.75" customHeight="1">
      <c r="A61" s="2" t="str">
        <v>E003</v>
      </c>
      <c r="B61" s="2" t="str">
        <v>David Mathews</v>
      </c>
      <c r="C61" s="2" t="str">
        <v>IT</v>
      </c>
      <c r="D61" s="2">
        <v>72000</v>
      </c>
      <c r="E61" s="2" t="str">
        <v>Bangalore</v>
      </c>
      <c r="F61" s="2">
        <v>2020</v>
      </c>
    </row>
    <row r="62" spans="1:6" ht="15.75" customHeight="1">
      <c r="A62" s="2" t="str">
        <v>E010</v>
      </c>
      <c r="B62" s="2" t="str">
        <v>Aman Verma</v>
      </c>
      <c r="C62" s="2" t="str">
        <v>Finance</v>
      </c>
      <c r="D62" s="2">
        <v>54000</v>
      </c>
      <c r="E62" s="2" t="str">
        <v>Delhi</v>
      </c>
      <c r="F62" s="2">
        <v>2020</v>
      </c>
    </row>
    <row r="63" spans="1:6" ht="15.75" customHeight="1">
      <c r="A63" s="2" t="str">
        <v>E001</v>
      </c>
      <c r="B63" s="2" t="str">
        <v>Rahul Sharma</v>
      </c>
      <c r="C63" s="2" t="str">
        <v>Sales</v>
      </c>
      <c r="D63" s="2">
        <v>55000</v>
      </c>
      <c r="E63" s="2" t="str">
        <v>Delhi</v>
      </c>
      <c r="F63" s="2">
        <v>2021</v>
      </c>
    </row>
    <row r="64" spans="1:6" ht="15.75" customHeight="1">
      <c r="A64" s="2" t="str">
        <v>E005</v>
      </c>
      <c r="B64" s="2" t="str">
        <v>Sunil Kumar</v>
      </c>
      <c r="C64" s="2" t="str">
        <v>Finance</v>
      </c>
      <c r="D64" s="2">
        <v>58000</v>
      </c>
      <c r="E64" s="2" t="str">
        <v>Delhi</v>
      </c>
      <c r="F64" s="2">
        <v>2021</v>
      </c>
    </row>
    <row r="65" spans="1:6" ht="15.75" customHeight="1">
      <c r="A65" s="2" t="str">
        <v>E004</v>
      </c>
      <c r="B65" s="2" t="str">
        <v>Priya R</v>
      </c>
      <c r="C65" s="2" t="str">
        <v>IT</v>
      </c>
      <c r="D65" s="2">
        <v>69000</v>
      </c>
      <c r="E65" s="2" t="str">
        <v>Pune</v>
      </c>
      <c r="F65" s="2">
        <v>2022</v>
      </c>
    </row>
    <row r="66" spans="1:6" ht="15.75" customHeight="1">
      <c r="A66" s="2" t="str">
        <v>E008</v>
      </c>
      <c r="B66" s="2" t="str">
        <v>Khushi Jain</v>
      </c>
      <c r="C66" s="2" t="str">
        <v>HR</v>
      </c>
      <c r="D66" s="2">
        <v>47000</v>
      </c>
      <c r="E66" s="2" t="str">
        <v>Bangalore</v>
      </c>
      <c r="F66" s="2">
        <v>2022</v>
      </c>
    </row>
    <row r="67" spans="1:6" ht="15.75" customHeight="1">
      <c r="A67" s="2" t="str">
        <v>E007</v>
      </c>
      <c r="B67" s="2" t="str">
        <v>John Paul</v>
      </c>
      <c r="C67" s="2" t="str">
        <v>Sales</v>
      </c>
      <c r="D67" s="2">
        <v>60000</v>
      </c>
      <c r="E67" s="2" t="str">
        <v>Mumbai</v>
      </c>
      <c r="F67" s="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Aakash Dharshan</cp:lastModifiedBy>
  <dcterms:modified xsi:type="dcterms:W3CDTF">2026-05-31T10:39:34Z</dcterms:modified>
</cp:coreProperties>
</file>