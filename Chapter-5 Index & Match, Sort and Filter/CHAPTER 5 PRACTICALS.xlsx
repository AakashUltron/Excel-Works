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ProITBridge\Excel With Proitbridge\"/>
    </mc:Choice>
  </mc:AlternateContent>
  <xr:revisionPtr revIDLastSave="0" documentId="13_ncr:1_{896D2318-5EA6-478C-B610-347519583765}" xr6:coauthVersionLast="47" xr6:coauthVersionMax="47" xr10:uidLastSave="{00000000-0000-0000-0000-000000000000}"/>
  <bookViews>
    <workbookView xWindow="-98" yWindow="-98" windowWidth="21795" windowHeight="12975" firstSheet="19" activeTab="22" xr2:uid="{00000000-000D-0000-FFFF-FFFF00000000}"/>
  </bookViews>
  <sheets>
    <sheet name="Basic Typing" sheetId="1" r:id="rId1"/>
    <sheet name="Cells and Ranges" sheetId="2" r:id="rId2"/>
    <sheet name="Basic Calculations and Referenc" sheetId="3" r:id="rId3"/>
    <sheet name="Referencing Detailed" sheetId="4" r:id="rId4"/>
    <sheet name="Arithmatic Operators - SUM" sheetId="5" r:id="rId5"/>
    <sheet name="Arithmatic Operators - MAX" sheetId="6" r:id="rId6"/>
    <sheet name="Arithmatic Operators - MIN" sheetId="7" r:id="rId7"/>
    <sheet name="Arithmatic Operators - COUNT an" sheetId="8" r:id="rId8"/>
    <sheet name="Arithmatic Operators - AVERAGE" sheetId="9" r:id="rId9"/>
    <sheet name="Conditional Operators - IF and " sheetId="10" r:id="rId10"/>
    <sheet name="Conditional - SUMIF, COUNTIF an" sheetId="11" r:id="rId11"/>
    <sheet name="Conditional Operators - SUMIFS," sheetId="12" r:id="rId12"/>
    <sheet name="Logical Operators - ANDOR" sheetId="13" r:id="rId13"/>
    <sheet name="Logical - ISBLANK" sheetId="14" r:id="rId14"/>
    <sheet name="VLOOKUP" sheetId="15" r:id="rId15"/>
    <sheet name="XLOOKUP" sheetId="16" r:id="rId16"/>
    <sheet name="INDEX and MATCH" sheetId="17" r:id="rId17"/>
    <sheet name="LEFT, MID, RIGHT" sheetId="18" r:id="rId18"/>
    <sheet name="CONCATENATE, TEXT JOIN, CONCAT" sheetId="19" r:id="rId19"/>
    <sheet name="UNIQUE and SEQUENCE" sheetId="23" r:id="rId20"/>
    <sheet name="SORT and SORTBY" sheetId="20" r:id="rId21"/>
    <sheet name="FILTER" sheetId="21" r:id="rId22"/>
    <sheet name="RANDARRAY" sheetId="22" r:id="rId2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1" i="23" l="1" a="1"/>
  <c r="H11" i="23" s="1"/>
  <c r="B13" i="23" a="1"/>
  <c r="B13" i="23" s="1"/>
  <c r="H14" i="17"/>
  <c r="B10" i="17"/>
  <c r="A15" i="22" a="1"/>
  <c r="A15" i="22" s="1"/>
  <c r="A6" i="22" a="1"/>
  <c r="A6" i="22" s="1"/>
  <c r="B11" i="21" a="1"/>
  <c r="B11" i="21" s="1"/>
  <c r="C55" i="20" a="1"/>
  <c r="C55" i="20" s="1"/>
  <c r="H30" i="20" a="1"/>
  <c r="H30" i="20" s="1"/>
  <c r="E30" i="20" a="1"/>
  <c r="E30" i="20" s="1"/>
  <c r="B30" i="20" a="1"/>
  <c r="B30" i="20" s="1"/>
  <c r="B11" i="20" a="1"/>
  <c r="B11" i="20" s="1"/>
  <c r="B24" i="17"/>
  <c r="D28" i="19"/>
  <c r="F9" i="19"/>
  <c r="I4" i="15"/>
  <c r="E15" i="16"/>
  <c r="H28" i="19"/>
  <c r="G9" i="19"/>
  <c r="F10" i="19"/>
  <c r="F11" i="19"/>
  <c r="A13" i="18"/>
  <c r="B7" i="18"/>
  <c r="B3" i="18"/>
  <c r="B16" i="14"/>
  <c r="B17" i="14"/>
  <c r="B7" i="14"/>
  <c r="B6" i="14"/>
  <c r="C9" i="13"/>
  <c r="C4" i="13"/>
  <c r="G12" i="10"/>
  <c r="C9" i="11"/>
  <c r="G13" i="10"/>
  <c r="H10" i="8"/>
  <c r="B8" i="8"/>
  <c r="C8" i="7"/>
  <c r="C9" i="6"/>
  <c r="C9" i="5"/>
  <c r="G4" i="4"/>
  <c r="G11" i="19"/>
  <c r="G10" i="19"/>
  <c r="D50" i="16" a="1"/>
  <c r="D50" i="16" s="1"/>
  <c r="D38" i="16" a="1"/>
  <c r="D38" i="16" s="1"/>
  <c r="N37" i="16" a="1"/>
  <c r="N37" i="16" s="1"/>
  <c r="M17" i="16" a="1"/>
  <c r="P17" i="16" s="1"/>
  <c r="B12" i="15"/>
  <c r="K36" i="4"/>
  <c r="J36" i="4"/>
  <c r="I36" i="4"/>
  <c r="H36" i="4"/>
  <c r="G36" i="4"/>
  <c r="F36" i="4"/>
  <c r="E36" i="4"/>
  <c r="D36" i="4"/>
  <c r="C36" i="4"/>
  <c r="B36" i="4"/>
  <c r="K35" i="4"/>
  <c r="J35" i="4"/>
  <c r="I35" i="4"/>
  <c r="H35" i="4"/>
  <c r="G35" i="4"/>
  <c r="F35" i="4"/>
  <c r="E35" i="4"/>
  <c r="D35" i="4"/>
  <c r="C35" i="4"/>
  <c r="B35" i="4"/>
  <c r="K34" i="4"/>
  <c r="J34" i="4"/>
  <c r="I34" i="4"/>
  <c r="H34" i="4"/>
  <c r="G34" i="4"/>
  <c r="F34" i="4"/>
  <c r="E34" i="4"/>
  <c r="D34" i="4"/>
  <c r="C34" i="4"/>
  <c r="B34" i="4"/>
  <c r="K33" i="4"/>
  <c r="J33" i="4"/>
  <c r="I33" i="4"/>
  <c r="H33" i="4"/>
  <c r="G33" i="4"/>
  <c r="F33" i="4"/>
  <c r="E33" i="4"/>
  <c r="D33" i="4"/>
  <c r="C33" i="4"/>
  <c r="B33" i="4"/>
  <c r="K32" i="4"/>
  <c r="J32" i="4"/>
  <c r="I32" i="4"/>
  <c r="H32" i="4"/>
  <c r="G32" i="4"/>
  <c r="F32" i="4"/>
  <c r="E32" i="4"/>
  <c r="D32" i="4"/>
  <c r="C32" i="4"/>
  <c r="B32" i="4"/>
  <c r="K31" i="4"/>
  <c r="J31" i="4"/>
  <c r="I31" i="4"/>
  <c r="H31" i="4"/>
  <c r="G31" i="4"/>
  <c r="F31" i="4"/>
  <c r="E31" i="4"/>
  <c r="D31" i="4"/>
  <c r="C31" i="4"/>
  <c r="B31" i="4"/>
  <c r="K30" i="4"/>
  <c r="J30" i="4"/>
  <c r="I30" i="4"/>
  <c r="H30" i="4"/>
  <c r="G30" i="4"/>
  <c r="F30" i="4"/>
  <c r="E30" i="4"/>
  <c r="D30" i="4"/>
  <c r="C30" i="4"/>
  <c r="B30" i="4"/>
  <c r="K29" i="4"/>
  <c r="J29" i="4"/>
  <c r="I29" i="4"/>
  <c r="H29" i="4"/>
  <c r="G29" i="4"/>
  <c r="F29" i="4"/>
  <c r="E29" i="4"/>
  <c r="D29" i="4"/>
  <c r="C29" i="4"/>
  <c r="B29" i="4"/>
  <c r="K28" i="4"/>
  <c r="J28" i="4"/>
  <c r="I28" i="4"/>
  <c r="H28" i="4"/>
  <c r="G28" i="4"/>
  <c r="F28" i="4"/>
  <c r="E28" i="4"/>
  <c r="D28" i="4"/>
  <c r="C28" i="4"/>
  <c r="B28" i="4"/>
  <c r="K27" i="4"/>
  <c r="J27" i="4"/>
  <c r="I27" i="4"/>
  <c r="H27" i="4"/>
  <c r="G27" i="4"/>
  <c r="F27" i="4"/>
  <c r="E27" i="4"/>
  <c r="D27" i="4"/>
  <c r="C27" i="4"/>
  <c r="B27" i="4"/>
  <c r="D24" i="3"/>
  <c r="M17" i="16" l="1"/>
  <c r="Q17" i="16"/>
  <c r="N17" i="16"/>
  <c r="O17" i="16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<sst xmlns="http://schemas.openxmlformats.org/spreadsheetml/2006/main" count="608" uniqueCount="367">
  <si>
    <t xml:space="preserve">What is your name? </t>
  </si>
  <si>
    <t>&lt;= Type your name here</t>
  </si>
  <si>
    <t>What is your favorite pet?</t>
  </si>
  <si>
    <t>&lt;= Type your pet here</t>
  </si>
  <si>
    <t xml:space="preserve">What is your favourite movie? </t>
  </si>
  <si>
    <t>&lt;= Type your movie here</t>
  </si>
  <si>
    <t>What is your lucky number?</t>
  </si>
  <si>
    <t>&lt;= Type your lucky number here</t>
  </si>
  <si>
    <t>Question</t>
  </si>
  <si>
    <t>Type your first name in Cell C4 and Last name in Cell C5</t>
  </si>
  <si>
    <t>Range (E6: J12)</t>
  </si>
  <si>
    <t>Type something in all the cells in Range in E18 to G21</t>
  </si>
  <si>
    <t>Calculate by referencing Cell 1 &amp; Cell 2:</t>
  </si>
  <si>
    <t>Basic Operators: + Add
– Substract
/ Divide
* (Asterisk) Multiply
^ Power</t>
  </si>
  <si>
    <t>Cell 1</t>
  </si>
  <si>
    <t>Cell 2</t>
  </si>
  <si>
    <t>19+7 equals?</t>
  </si>
  <si>
    <t>&lt;= Type your answer here</t>
  </si>
  <si>
    <t>18-5 equals?</t>
  </si>
  <si>
    <t>5 X 8 equals?</t>
  </si>
  <si>
    <t>144 divided by 12 equals?</t>
  </si>
  <si>
    <t>Hola</t>
  </si>
  <si>
    <t>Division Result</t>
  </si>
  <si>
    <t>USD/GBP</t>
  </si>
  <si>
    <t>Amount(USD)</t>
  </si>
  <si>
    <t>Amount(GBP)</t>
  </si>
  <si>
    <t>Name</t>
  </si>
  <si>
    <t>No. of Apples</t>
  </si>
  <si>
    <t>Guy</t>
  </si>
  <si>
    <t>Lev</t>
  </si>
  <si>
    <t>Yoav</t>
  </si>
  <si>
    <t>Yossi</t>
  </si>
  <si>
    <t>Dana</t>
  </si>
  <si>
    <t>Total</t>
  </si>
  <si>
    <t>&lt; - Insert formula here!</t>
  </si>
  <si>
    <t>Year</t>
  </si>
  <si>
    <t>Total 3 Years</t>
  </si>
  <si>
    <t>Revenue</t>
  </si>
  <si>
    <t>Expenses</t>
  </si>
  <si>
    <t>Income</t>
  </si>
  <si>
    <t>Max value</t>
  </si>
  <si>
    <t>MAX function</t>
  </si>
  <si>
    <t>Let's practice!</t>
  </si>
  <si>
    <t>What is the maximum value in the table above?</t>
  </si>
  <si>
    <t>Use MAX function to find out!</t>
  </si>
  <si>
    <t>&lt;&lt; Enter fomula here</t>
  </si>
  <si>
    <t>Min value</t>
  </si>
  <si>
    <t>Find the minimum value among the following cells:</t>
  </si>
  <si>
    <t>Output</t>
  </si>
  <si>
    <t>Minimum</t>
  </si>
  <si>
    <t>Please calculate how many items are in the table:</t>
  </si>
  <si>
    <t>Please calculate how many numeric values are in the table:</t>
  </si>
  <si>
    <t>Chili sauce</t>
  </si>
  <si>
    <t>BBQ sauce</t>
  </si>
  <si>
    <t>Two</t>
  </si>
  <si>
    <t>Vinaigrette sauce</t>
  </si>
  <si>
    <t>Wine sauce</t>
  </si>
  <si>
    <t>Four</t>
  </si>
  <si>
    <t>Mint sauce</t>
  </si>
  <si>
    <t>Steak sauce</t>
  </si>
  <si>
    <t>Six</t>
  </si>
  <si>
    <t>Count (COUNTA) :</t>
  </si>
  <si>
    <t>Seven</t>
  </si>
  <si>
    <t>Count (COUNT):</t>
  </si>
  <si>
    <t>Practice COUNT Function</t>
  </si>
  <si>
    <t>use Count formula to answer the question below</t>
  </si>
  <si>
    <t>.</t>
  </si>
  <si>
    <t>How many cells with numbers are there in the gray range</t>
  </si>
  <si>
    <t>&lt;&lt; enter your answer here</t>
  </si>
  <si>
    <r>
      <rPr>
        <u/>
        <sz val="11"/>
        <color rgb="FF1155CC"/>
        <rFont val="Calibri, sans-serif"/>
      </rPr>
      <t>Click her for answers</t>
    </r>
  </si>
  <si>
    <t>What is the average age of the following people?</t>
  </si>
  <si>
    <t>Age</t>
  </si>
  <si>
    <t>Danny</t>
  </si>
  <si>
    <t>Becky</t>
  </si>
  <si>
    <t>John</t>
  </si>
  <si>
    <t>Paul</t>
  </si>
  <si>
    <t>Dean</t>
  </si>
  <si>
    <t>Jack</t>
  </si>
  <si>
    <t>Dina</t>
  </si>
  <si>
    <t>Averge:</t>
  </si>
  <si>
    <r>
      <rPr>
        <sz val="16"/>
        <color theme="1"/>
        <rFont val="Calibri"/>
      </rPr>
      <t>Grandpa John gives his kids Christmas gifts, but only if they are younger than 18.</t>
    </r>
    <r>
      <rPr>
        <sz val="11"/>
        <color theme="1"/>
        <rFont val="Calibri"/>
      </rPr>
      <t xml:space="preserve">
</t>
    </r>
  </si>
  <si>
    <t>Use IF function to check who’s eligible for Christmas gifts this year. Return “Yes” if he’s eligible, and “No” if he is not.</t>
  </si>
  <si>
    <t>Receives gift?</t>
  </si>
  <si>
    <t>Tommy</t>
  </si>
  <si>
    <t>Jim</t>
  </si>
  <si>
    <t>Check:</t>
  </si>
  <si>
    <t>Please insert formulas</t>
  </si>
  <si>
    <t>In UCLA online store, only full-time students with GPA over 4.5 get a discount otherwise they don't; 
 The system generates a random user - check if she/he gets a discount and return "Yes" for discount, else "No".</t>
  </si>
  <si>
    <t>DATA:</t>
  </si>
  <si>
    <t>User number</t>
  </si>
  <si>
    <t>Data always changes. Beware! 
 Make sure you use Cells reference (exmple =B9) and not hard-coded values.</t>
  </si>
  <si>
    <t>Full time/Part-Time</t>
  </si>
  <si>
    <t>Part-Time</t>
  </si>
  <si>
    <t>GPA</t>
  </si>
  <si>
    <t>&lt;= Insert formula here!</t>
  </si>
  <si>
    <t>Answer:</t>
  </si>
  <si>
    <t>(Solution in Row 70)</t>
  </si>
  <si>
    <t xml:space="preserve">Instructions: create a nested if formula where:						
1. Conditions:						
First condition Full-Time						
Second condition GPA Greater than 4.5						
2. Results:						
Gets a discount – return “Yes", otherwise “No"						
The following formula is a great example of how to use Nested If in this case. 						
=IF(B9="Full-Time",IF(B10&gt;4.5,"Yes","No"),"No")						
Alternatively, you could switch between the first and the second conditions:						
=IF(B10&gt;4.5,IF(B9="Full-Time","Yes","No"),"No")						
There are many other ways you could test 2 or more conditions! We believe that the two examples above are the easiest =)						</t>
  </si>
  <si>
    <t>What is the income of all rappers who like the yellow color?</t>
  </si>
  <si>
    <t>What is the average yearly income in Ohio?</t>
  </si>
  <si>
    <t>Rapper</t>
  </si>
  <si>
    <t>Favorite color</t>
  </si>
  <si>
    <t>Income (millions)</t>
  </si>
  <si>
    <t>State</t>
  </si>
  <si>
    <t>Employee Name</t>
  </si>
  <si>
    <t>Income (thousands)</t>
  </si>
  <si>
    <t>Biz Khalifa</t>
  </si>
  <si>
    <t>Black</t>
  </si>
  <si>
    <t>Minnesota</t>
  </si>
  <si>
    <t>Ice Cone</t>
  </si>
  <si>
    <t>Yellow</t>
  </si>
  <si>
    <t>Ohio</t>
  </si>
  <si>
    <t>Jake</t>
  </si>
  <si>
    <t>Snoop Catt</t>
  </si>
  <si>
    <t>New York</t>
  </si>
  <si>
    <t>Jill</t>
  </si>
  <si>
    <t>Cardi C</t>
  </si>
  <si>
    <t>Dilip</t>
  </si>
  <si>
    <t>Ray Z</t>
  </si>
  <si>
    <t>3Pac</t>
  </si>
  <si>
    <t>Texas</t>
  </si>
  <si>
    <t>Kumar</t>
  </si>
  <si>
    <t>Sum:</t>
  </si>
  <si>
    <t>California</t>
  </si>
  <si>
    <t>Jose</t>
  </si>
  <si>
    <t>Muhammad</t>
  </si>
  <si>
    <t>Elise</t>
  </si>
  <si>
    <t>Average income:</t>
  </si>
  <si>
    <t>&lt;= Insert formula here</t>
  </si>
  <si>
    <t>How many rappers like the color yellow?</t>
  </si>
  <si>
    <t>Count:</t>
  </si>
  <si>
    <r>
      <t xml:space="preserve">SUMIFS function allows us to sum values that meet more than one criteria. Contrary to </t>
    </r>
    <r>
      <rPr>
        <u/>
        <sz val="14"/>
        <color rgb="FF1155CC"/>
        <rFont val="Calibri"/>
      </rPr>
      <t>SUMIF</t>
    </r>
    <r>
      <rPr>
        <sz val="14"/>
        <color rgb="FF3A3A3A"/>
        <rFont val="Calibri"/>
      </rPr>
      <t xml:space="preserve"> (without S in the end) – The sum range and criteria range must be separated.</t>
    </r>
  </si>
  <si>
    <t>The following table details the revenue by bank account number</t>
  </si>
  <si>
    <t>Calculate the total revenue from "Gold" accounts in the State of NY</t>
  </si>
  <si>
    <t>Account #</t>
  </si>
  <si>
    <t>Type</t>
  </si>
  <si>
    <t>Gold</t>
  </si>
  <si>
    <t>NY</t>
  </si>
  <si>
    <t>Silver</t>
  </si>
  <si>
    <t>PA</t>
  </si>
  <si>
    <t>NJ</t>
  </si>
  <si>
    <t>Bronze</t>
  </si>
  <si>
    <t>MA</t>
  </si>
  <si>
    <t>COUNTIFS function allows us to check multiple criteria within multiple columns, and to count the number of occurrences where all criteria were met.</t>
  </si>
  <si>
    <t>Use COUNTIFS to calculate the number of boys over the age of 13</t>
  </si>
  <si>
    <t>Boy/Girl</t>
  </si>
  <si>
    <t>Alex</t>
  </si>
  <si>
    <t>Boy</t>
  </si>
  <si>
    <t>Gabby</t>
  </si>
  <si>
    <t>Girl</t>
  </si>
  <si>
    <t>Kris</t>
  </si>
  <si>
    <t>Taylor</t>
  </si>
  <si>
    <t>Vic</t>
  </si>
  <si>
    <t>&lt;- Insert formula here!</t>
  </si>
  <si>
    <t>If all numbers are greater than 30, return "Good", otherwise return "Bad"</t>
  </si>
  <si>
    <t>Number 1</t>
  </si>
  <si>
    <t>Number 2</t>
  </si>
  <si>
    <t>If at least one number is greater than 30, return "Good", otherwise return "Bad"</t>
  </si>
  <si>
    <t>Check if the following cell is blank:</t>
  </si>
  <si>
    <t>Cell</t>
  </si>
  <si>
    <t>Is it blank?</t>
  </si>
  <si>
    <t>Bla bla bla</t>
  </si>
  <si>
    <t>Check if the following cell is blank. If so, return "No data", otherwise return "Cell is ok":</t>
  </si>
  <si>
    <t>The cat</t>
  </si>
  <si>
    <t>ID Number</t>
  </si>
  <si>
    <t>Use the VLOOKUP function to find where Tina and Dani work:</t>
  </si>
  <si>
    <t>Workplace</t>
  </si>
  <si>
    <t>Dani</t>
  </si>
  <si>
    <t>Rafi</t>
  </si>
  <si>
    <t>Tina</t>
  </si>
  <si>
    <t>List of employees:</t>
  </si>
  <si>
    <t>What is the age of ID 57564?</t>
  </si>
  <si>
    <t>Company</t>
  </si>
  <si>
    <t>Sean</t>
  </si>
  <si>
    <t>Amazon</t>
  </si>
  <si>
    <t>Sarah</t>
  </si>
  <si>
    <t>Google</t>
  </si>
  <si>
    <t>&lt;- Please enter formula</t>
  </si>
  <si>
    <t>Microsoft</t>
  </si>
  <si>
    <t>Joe</t>
  </si>
  <si>
    <t>Apple</t>
  </si>
  <si>
    <t>Netflix</t>
  </si>
  <si>
    <t>Disney</t>
  </si>
  <si>
    <t>Sharon</t>
  </si>
  <si>
    <t>Tesla</t>
  </si>
  <si>
    <t>Gil</t>
  </si>
  <si>
    <t>Facebook</t>
  </si>
  <si>
    <t>Basic XLOOKUP Usage</t>
  </si>
  <si>
    <t>Return All Matching Contents</t>
  </si>
  <si>
    <t>Use XLOOKUP to find the age of Jack</t>
  </si>
  <si>
    <t>Return all car details for the car with Plate Number 5544667</t>
  </si>
  <si>
    <t>Michael</t>
  </si>
  <si>
    <t>Car</t>
  </si>
  <si>
    <t>Plate Number</t>
  </si>
  <si>
    <t>Color</t>
  </si>
  <si>
    <t>Model Year</t>
  </si>
  <si>
    <t>Toyota</t>
  </si>
  <si>
    <t>Corola</t>
  </si>
  <si>
    <t>Red</t>
  </si>
  <si>
    <t>Russel</t>
  </si>
  <si>
    <t>Nissan</t>
  </si>
  <si>
    <t>X Trail</t>
  </si>
  <si>
    <t>Subaru</t>
  </si>
  <si>
    <t>Impreza</t>
  </si>
  <si>
    <t>Dan</t>
  </si>
  <si>
    <t>Mercedes</t>
  </si>
  <si>
    <t>S 600</t>
  </si>
  <si>
    <t>Honda</t>
  </si>
  <si>
    <t>Civic</t>
  </si>
  <si>
    <t>Blue</t>
  </si>
  <si>
    <t>Name:</t>
  </si>
  <si>
    <t>&lt;- Insert formula here</t>
  </si>
  <si>
    <t>Plate Number:</t>
  </si>
  <si>
    <t>^ Insert formula above</t>
  </si>
  <si>
    <t>Return last matching value</t>
  </si>
  <si>
    <t>Value Not Found</t>
  </si>
  <si>
    <t>What is Dina's favorite color?</t>
  </si>
  <si>
    <t>Note that some names appear more than once in the table!</t>
  </si>
  <si>
    <t>In case of duplicates, return last matching value.</t>
  </si>
  <si>
    <t>What is Jacob's favorite food?</t>
  </si>
  <si>
    <t>In case Jacob's name ins't in the table, return "Not found"</t>
  </si>
  <si>
    <t>City</t>
  </si>
  <si>
    <t>Favorite Color</t>
  </si>
  <si>
    <t>Favorite food</t>
  </si>
  <si>
    <t>London</t>
  </si>
  <si>
    <t>Green</t>
  </si>
  <si>
    <t>Lobster</t>
  </si>
  <si>
    <t>Joel</t>
  </si>
  <si>
    <t>Tel Aviv</t>
  </si>
  <si>
    <t>Falafel</t>
  </si>
  <si>
    <t>Melbourne</t>
  </si>
  <si>
    <t>Pasta</t>
  </si>
  <si>
    <t>Sam</t>
  </si>
  <si>
    <t>Syndey</t>
  </si>
  <si>
    <t>Pizza</t>
  </si>
  <si>
    <t>Ralph</t>
  </si>
  <si>
    <t>Beijing</t>
  </si>
  <si>
    <t>Hamburger</t>
  </si>
  <si>
    <t>Dallas</t>
  </si>
  <si>
    <t>Elena</t>
  </si>
  <si>
    <t>Favorite food:</t>
  </si>
  <si>
    <t>Favorite Color:</t>
  </si>
  <si>
    <t>Here are some possible solutions -</t>
  </si>
  <si>
    <t>All solutions rely on using -1 in Search Mode (last argument):</t>
  </si>
  <si>
    <t>Method #1:</t>
  </si>
  <si>
    <t>=XLOOKUP(B14,A6:A12,C6:C12,,,-1)</t>
  </si>
  <si>
    <t>Here we keep "not found" and "match mode" empty.</t>
  </si>
  <si>
    <t>Method #2:</t>
  </si>
  <si>
    <t>=XLOOKUP(B14,A6:A12,C6:C12,"not found",,-1')</t>
  </si>
  <si>
    <t>Here we use "not found" message in our if_not_found argument</t>
  </si>
  <si>
    <t>Method #3:</t>
  </si>
  <si>
    <t>=XLOOKUP(B14,A6:A12,C6:C12,,0,-1)</t>
  </si>
  <si>
    <t>Using match mode 0 means using exact match (default behavior)</t>
  </si>
  <si>
    <t>Use INDEX formula to return name the 4th company in the list</t>
  </si>
  <si>
    <t>Alphabet</t>
  </si>
  <si>
    <t>Barclays</t>
  </si>
  <si>
    <t>Corning</t>
  </si>
  <si>
    <t>Using Index&amp;Match, find the ID Number of David</t>
  </si>
  <si>
    <t>Dell</t>
  </si>
  <si>
    <t>Exxon Mobile</t>
  </si>
  <si>
    <t>Bob</t>
  </si>
  <si>
    <t>Rami</t>
  </si>
  <si>
    <t>David</t>
  </si>
  <si>
    <t>Frank</t>
  </si>
  <si>
    <t>Use MATCH to return the position number of the letter F in the following array:</t>
  </si>
  <si>
    <t>Letter:</t>
  </si>
  <si>
    <t>A</t>
  </si>
  <si>
    <t>Z</t>
  </si>
  <si>
    <t>C</t>
  </si>
  <si>
    <t>X</t>
  </si>
  <si>
    <t>Y</t>
  </si>
  <si>
    <t>F</t>
  </si>
  <si>
    <t>W</t>
  </si>
  <si>
    <t>Extract the first 4 characters:</t>
  </si>
  <si>
    <t>Lady Gaga</t>
  </si>
  <si>
    <t>Extract the last 8 characters:</t>
  </si>
  <si>
    <t>Led Zeppelin</t>
  </si>
  <si>
    <t>Extract 26 characters from the 103rd character:</t>
  </si>
  <si>
    <t xml:space="preserve">dsdfsfweusdfdfvbtrefjnfsdf34fdfsdf34fsabcdefcdercvaaaaabg%4fds2dfsdf34rejnfejrnvjnjnfsaaaaadnfewfnjsdfI am absolutely amazing!!!wesdf34rsdfsdfewr34rwfsdfu34nunfsdufn3u4nffudsnfusf		</t>
  </si>
  <si>
    <t>^ Insert formula ^</t>
  </si>
  <si>
    <t>CONCATENATE</t>
  </si>
  <si>
    <t>Use CONCATENATE in order to complete columns F and G. For example, for John Smith the result in Column D would be JohnSmit and in column F John-Smith</t>
  </si>
  <si>
    <t>Employee Code</t>
  </si>
  <si>
    <t>First Name</t>
  </si>
  <si>
    <t>Last Name</t>
  </si>
  <si>
    <t>First and last name (no space)</t>
  </si>
  <si>
    <t>First and last name (with dash)</t>
  </si>
  <si>
    <t>A100</t>
  </si>
  <si>
    <t>Smith</t>
  </si>
  <si>
    <t>A101</t>
  </si>
  <si>
    <t>Jane</t>
  </si>
  <si>
    <t>Doe</t>
  </si>
  <si>
    <t>A102</t>
  </si>
  <si>
    <t>Johnson</t>
  </si>
  <si>
    <t>TEXT JOIN</t>
  </si>
  <si>
    <t>CONCAT</t>
  </si>
  <si>
    <t>Use the space character as delimiter and ignore empty cells.</t>
  </si>
  <si>
    <t>Word</t>
  </si>
  <si>
    <t>Are</t>
  </si>
  <si>
    <t>Mary</t>
  </si>
  <si>
    <t>had</t>
  </si>
  <si>
    <t>You Sleeping</t>
  </si>
  <si>
    <t>Little</t>
  </si>
  <si>
    <t>Brother John</t>
  </si>
  <si>
    <t>Lamb</t>
  </si>
  <si>
    <t>?</t>
  </si>
  <si>
    <t>Answer</t>
  </si>
  <si>
    <t>&lt;-Insert Formula</t>
  </si>
  <si>
    <t>Use UNIQUE to extract only unique values from list:</t>
  </si>
  <si>
    <t>Numbers</t>
  </si>
  <si>
    <t>Use SEQUENCE to create a similar sequence to the following table:</t>
  </si>
  <si>
    <t>Answer: (insert formula in the yellow cell)</t>
  </si>
  <si>
    <t>&lt;Insert formula in the yellow cell</t>
  </si>
  <si>
    <t>SORT the following contestants by their rank, lowest to highest</t>
  </si>
  <si>
    <t>Rank</t>
  </si>
  <si>
    <t>Leroy</t>
  </si>
  <si>
    <t>Adi</t>
  </si>
  <si>
    <t>Anya</t>
  </si>
  <si>
    <t>Nemo</t>
  </si>
  <si>
    <t>EXERCISE 1 - BASIC SORT</t>
  </si>
  <si>
    <t>Points Round 2</t>
  </si>
  <si>
    <t>Total Points</t>
  </si>
  <si>
    <t>Use SORTBY to sort the names by number of points in a descending order. For each column separately.</t>
  </si>
  <si>
    <t>Hayley</t>
  </si>
  <si>
    <t>Points Round 1</t>
  </si>
  <si>
    <t>Jonny</t>
  </si>
  <si>
    <t>Jackey</t>
  </si>
  <si>
    <t>Carey</t>
  </si>
  <si>
    <t>Round 1</t>
  </si>
  <si>
    <t>Round 2</t>
  </si>
  <si>
    <t>Answer: (insert formulas in the yellow cells)</t>
  </si>
  <si>
    <t>&lt;Insert formula here</t>
  </si>
  <si>
    <t>EXERCISE 2 - ADVANCED SORT</t>
  </si>
  <si>
    <t>Sort the following range by the following criteria simultaneously:</t>
  </si>
  <si>
    <t>1. Group - by ascending order</t>
  </si>
  <si>
    <t>2. Country - by ascending order</t>
  </si>
  <si>
    <t>Group</t>
  </si>
  <si>
    <t>Country</t>
  </si>
  <si>
    <t>Score</t>
  </si>
  <si>
    <t>USA</t>
  </si>
  <si>
    <t>D</t>
  </si>
  <si>
    <t>Canada</t>
  </si>
  <si>
    <t>Robert</t>
  </si>
  <si>
    <t>B</t>
  </si>
  <si>
    <t>Israel</t>
  </si>
  <si>
    <t>UK</t>
  </si>
  <si>
    <t>Jay Jay</t>
  </si>
  <si>
    <t>Brazil</t>
  </si>
  <si>
    <t>Daniel</t>
  </si>
  <si>
    <t>Nigeria</t>
  </si>
  <si>
    <t>James</t>
  </si>
  <si>
    <t>Insert formula&gt;</t>
  </si>
  <si>
    <t>Use filter to extract only the companies from the Tech industry and their Market Cap. Ignore empty cells argument.</t>
  </si>
  <si>
    <t>Industry</t>
  </si>
  <si>
    <t>Market Cap (US Dollars Billions)</t>
  </si>
  <si>
    <t>Tech</t>
  </si>
  <si>
    <t>Walmart</t>
  </si>
  <si>
    <t>Retail</t>
  </si>
  <si>
    <t>Costco</t>
  </si>
  <si>
    <t>Macey's</t>
  </si>
  <si>
    <t>Market Cap (Billions US$)</t>
  </si>
  <si>
    <t>Create an array of random numbers in the size of 5x5.</t>
  </si>
  <si>
    <t>The numbers should be integers and between 1 to 20.</t>
  </si>
  <si>
    <t>Start the array from cell A6.</t>
  </si>
  <si>
    <t>Insert Formula:</t>
  </si>
  <si>
    <t>Fill range A15:A22 (8 rows) with random decimal numbers.</t>
  </si>
  <si>
    <t>The decimal numbers should range between 10.7 to 24.3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</si>
</sst>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-C09]#,##0.00"/>
    <numFmt numFmtId="165" formatCode="&quot;₹&quot;\ #,##0.00"/>
  </numFmts>
  <fonts count="54">
    <font>
      <sz val="11"/>
      <color rgb="FF000000"/>
      <name val="Calibri"/>
      <scheme val="minor"/>
    </font>
    <font>
      <sz val="11"/>
      <color theme="1"/>
      <name val="Calibri"/>
      <scheme val="minor"/>
    </font>
    <font>
      <sz val="12"/>
      <color theme="1"/>
      <name val="Calibri"/>
      <scheme val="minor"/>
    </font>
    <font>
      <b/>
      <sz val="14"/>
      <color theme="1"/>
      <name val="Calibri"/>
      <scheme val="minor"/>
    </font>
    <font>
      <sz val="13"/>
      <color theme="1"/>
      <name val="Calibri"/>
      <scheme val="minor"/>
    </font>
    <font>
      <sz val="16"/>
      <color theme="1"/>
      <name val="Calibri"/>
      <scheme val="minor"/>
    </font>
    <font>
      <b/>
      <sz val="15"/>
      <color theme="1"/>
      <name val="Calibri"/>
      <scheme val="minor"/>
    </font>
    <font>
      <sz val="11"/>
      <name val="Calibri"/>
    </font>
    <font>
      <b/>
      <sz val="14"/>
      <color rgb="FF000000"/>
      <name val="Calibri"/>
      <scheme val="minor"/>
    </font>
    <font>
      <sz val="8"/>
      <color theme="1"/>
      <name val="Calibri"/>
    </font>
    <font>
      <b/>
      <sz val="12"/>
      <color rgb="FF000000"/>
      <name val="Calibri"/>
      <scheme val="minor"/>
    </font>
    <font>
      <sz val="12"/>
      <color rgb="FF000000"/>
      <name val="Calibri"/>
      <scheme val="minor"/>
    </font>
    <font>
      <b/>
      <sz val="11"/>
      <color theme="1"/>
      <name val="Calibri"/>
      <scheme val="minor"/>
    </font>
    <font>
      <b/>
      <sz val="12"/>
      <color theme="1"/>
      <name val="Calibri"/>
      <scheme val="minor"/>
    </font>
    <font>
      <sz val="14"/>
      <color theme="1"/>
      <name val="Calibri"/>
      <scheme val="minor"/>
    </font>
    <font>
      <sz val="14"/>
      <color rgb="FF000000"/>
      <name val="Calibri"/>
    </font>
    <font>
      <sz val="14"/>
      <color theme="1"/>
      <name val="Calibri"/>
    </font>
    <font>
      <sz val="11"/>
      <color rgb="FF000000"/>
      <name val="Calibri"/>
    </font>
    <font>
      <b/>
      <sz val="11"/>
      <color rgb="FF000000"/>
      <name val="Calibri"/>
    </font>
    <font>
      <sz val="11"/>
      <color theme="1"/>
      <name val="Calibri"/>
    </font>
    <font>
      <b/>
      <u/>
      <sz val="11"/>
      <color rgb="FF000000"/>
      <name val="Calibri"/>
    </font>
    <font>
      <sz val="11"/>
      <color rgb="FFFF0000"/>
      <name val="Calibri"/>
    </font>
    <font>
      <b/>
      <sz val="14"/>
      <color rgb="FF000000"/>
      <name val="Calibri"/>
    </font>
    <font>
      <u/>
      <sz val="11"/>
      <color rgb="FF0000FF"/>
      <name val="Calibri"/>
    </font>
    <font>
      <b/>
      <sz val="12"/>
      <color rgb="FF000000"/>
      <name val="Calibri"/>
    </font>
    <font>
      <sz val="12"/>
      <color rgb="FF000000"/>
      <name val="Calibri"/>
    </font>
    <font>
      <sz val="14"/>
      <color rgb="FF333333"/>
      <name val="Calibri"/>
      <scheme val="minor"/>
    </font>
    <font>
      <u/>
      <sz val="14"/>
      <color rgb="FF3A3A3A"/>
      <name val="Calibri"/>
    </font>
    <font>
      <sz val="14"/>
      <color rgb="FF3A3A3A"/>
      <name val="Arial"/>
    </font>
    <font>
      <b/>
      <sz val="13"/>
      <color rgb="FF000000"/>
      <name val="Calibri"/>
    </font>
    <font>
      <sz val="17"/>
      <color theme="1"/>
      <name val="Calibri"/>
      <scheme val="minor"/>
    </font>
    <font>
      <b/>
      <sz val="11"/>
      <color rgb="FF000000"/>
      <name val="Arial"/>
    </font>
    <font>
      <sz val="11"/>
      <color rgb="FF000000"/>
      <name val="Arial"/>
    </font>
    <font>
      <sz val="9"/>
      <color rgb="FF000000"/>
      <name val="Arial"/>
    </font>
    <font>
      <sz val="17"/>
      <color theme="1"/>
      <name val="Arial"/>
    </font>
    <font>
      <sz val="11"/>
      <color rgb="FF444444"/>
      <name val="Calibri"/>
    </font>
    <font>
      <sz val="10"/>
      <color rgb="FF666666"/>
      <name val="Arial"/>
    </font>
    <font>
      <b/>
      <sz val="17"/>
      <color theme="1"/>
      <name val="Arial"/>
    </font>
    <font>
      <b/>
      <sz val="11"/>
      <color rgb="FF374151"/>
      <name val="Söhne"/>
    </font>
    <font>
      <sz val="11"/>
      <color rgb="FF374151"/>
      <name val="Söhne"/>
    </font>
    <font>
      <b/>
      <sz val="11"/>
      <color rgb="FFFF0000"/>
      <name val="Calibri"/>
    </font>
    <font>
      <b/>
      <sz val="9"/>
      <color rgb="FFFF0000"/>
      <name val="Calibri"/>
    </font>
    <font>
      <b/>
      <sz val="17"/>
      <color theme="1"/>
      <name val="Calibri"/>
      <scheme val="minor"/>
    </font>
    <font>
      <u/>
      <sz val="11"/>
      <color rgb="FF1155CC"/>
      <name val="Calibri, sans-serif"/>
    </font>
    <font>
      <sz val="16"/>
      <color theme="1"/>
      <name val="Calibri"/>
    </font>
    <font>
      <u/>
      <sz val="14"/>
      <color rgb="FF1155CC"/>
      <name val="Calibri"/>
    </font>
    <font>
      <sz val="14"/>
      <color rgb="FF3A3A3A"/>
      <name val="Calibri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FF0000"/>
      <name val="Calibri"/>
      <family val="2"/>
    </font>
    <font>
      <b/>
      <sz val="11"/>
      <color rgb="FF70AD47"/>
      <name val="Calibri"/>
      <family val="2"/>
    </font>
    <font>
      <b/>
      <sz val="11"/>
      <color rgb="FF4472C4"/>
      <name val="Calibri"/>
      <family val="2"/>
    </font>
    <font>
      <b/>
      <sz val="11"/>
      <color rgb="FFED7D31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rgb="FFF1C232"/>
        <bgColor rgb="FFF1C232"/>
      </patternFill>
    </fill>
    <fill>
      <patternFill patternType="solid">
        <fgColor rgb="FFFFD966"/>
        <bgColor rgb="FFFFD966"/>
      </patternFill>
    </fill>
    <fill>
      <patternFill patternType="solid">
        <fgColor rgb="FFD9D2E9"/>
        <bgColor rgb="FFD9D2E9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FF9900"/>
        <bgColor rgb="FFFF9900"/>
      </patternFill>
    </fill>
    <fill>
      <patternFill patternType="solid">
        <fgColor rgb="FF92D050"/>
        <bgColor rgb="FF92D050"/>
      </patternFill>
    </fill>
    <fill>
      <patternFill patternType="solid">
        <fgColor rgb="FFE7E6E6"/>
        <bgColor rgb="FFE7E6E6"/>
      </patternFill>
    </fill>
    <fill>
      <patternFill patternType="solid">
        <fgColor rgb="FFF2F2F2"/>
        <bgColor rgb="FFF2F2F2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FFC000"/>
        <bgColor rgb="FFFFC000"/>
      </patternFill>
    </fill>
    <fill>
      <patternFill patternType="solid">
        <fgColor rgb="FFD9D9D9"/>
        <bgColor rgb="FFD9D9D9"/>
      </patternFill>
    </fill>
    <fill>
      <patternFill patternType="solid">
        <fgColor rgb="FFD9E1F2"/>
        <bgColor rgb="FFD9E1F2"/>
      </patternFill>
    </fill>
    <fill>
      <patternFill patternType="solid">
        <fgColor rgb="FF00B0F0"/>
        <bgColor rgb="FF00B0F0"/>
      </patternFill>
    </fill>
    <fill>
      <patternFill patternType="solid">
        <fgColor rgb="FFFFF2CC"/>
        <bgColor rgb="FFFFF2CC"/>
      </patternFill>
    </fill>
    <fill>
      <patternFill patternType="solid">
        <fgColor rgb="FFFFE699"/>
        <bgColor rgb="FFFFE699"/>
      </patternFill>
    </fill>
    <fill>
      <patternFill patternType="solid">
        <fgColor rgb="FFFFFF00"/>
        <bgColor rgb="FF000000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8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1" xfId="0" applyFont="1" applyBorder="1"/>
    <xf numFmtId="0" fontId="5" fillId="0" borderId="1" xfId="0" applyFont="1" applyBorder="1" applyAlignment="1">
      <alignment wrapText="1"/>
    </xf>
    <xf numFmtId="0" fontId="6" fillId="3" borderId="0" xfId="0" applyFont="1" applyFill="1"/>
    <xf numFmtId="0" fontId="8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11" fillId="0" borderId="0" xfId="0" applyFont="1" applyAlignment="1">
      <alignment horizontal="right"/>
    </xf>
    <xf numFmtId="0" fontId="2" fillId="5" borderId="1" xfId="0" applyFont="1" applyFill="1" applyBorder="1" applyAlignment="1">
      <alignment horizontal="left"/>
    </xf>
    <xf numFmtId="0" fontId="11" fillId="0" borderId="0" xfId="0" applyFont="1" applyAlignment="1">
      <alignment horizontal="left"/>
    </xf>
    <xf numFmtId="0" fontId="12" fillId="0" borderId="0" xfId="0" applyFont="1"/>
    <xf numFmtId="0" fontId="13" fillId="0" borderId="0" xfId="0" applyFont="1" applyAlignment="1">
      <alignment horizontal="left"/>
    </xf>
    <xf numFmtId="0" fontId="13" fillId="0" borderId="1" xfId="0" applyFont="1" applyBorder="1"/>
    <xf numFmtId="0" fontId="12" fillId="6" borderId="1" xfId="0" applyFont="1" applyFill="1" applyBorder="1"/>
    <xf numFmtId="0" fontId="12" fillId="0" borderId="10" xfId="0" applyFont="1" applyBorder="1"/>
    <xf numFmtId="0" fontId="12" fillId="0" borderId="13" xfId="0" applyFont="1" applyBorder="1"/>
    <xf numFmtId="0" fontId="12" fillId="0" borderId="14" xfId="0" applyFont="1" applyBorder="1"/>
    <xf numFmtId="0" fontId="12" fillId="0" borderId="15" xfId="0" applyFont="1" applyBorder="1"/>
    <xf numFmtId="0" fontId="12" fillId="0" borderId="11" xfId="0" applyFont="1" applyBorder="1"/>
    <xf numFmtId="0" fontId="12" fillId="0" borderId="12" xfId="0" applyFont="1" applyBorder="1"/>
    <xf numFmtId="0" fontId="14" fillId="0" borderId="5" xfId="0" applyFont="1" applyBorder="1"/>
    <xf numFmtId="0" fontId="15" fillId="7" borderId="1" xfId="0" applyFont="1" applyFill="1" applyBorder="1" applyAlignment="1">
      <alignment horizontal="left"/>
    </xf>
    <xf numFmtId="0" fontId="16" fillId="0" borderId="0" xfId="0" applyFont="1" applyAlignment="1">
      <alignment horizontal="left"/>
    </xf>
    <xf numFmtId="0" fontId="9" fillId="0" borderId="6" xfId="0" applyFont="1" applyBorder="1" applyAlignment="1">
      <alignment horizontal="left"/>
    </xf>
    <xf numFmtId="0" fontId="15" fillId="0" borderId="0" xfId="0" applyFont="1" applyAlignment="1">
      <alignment horizontal="left"/>
    </xf>
    <xf numFmtId="0" fontId="15" fillId="0" borderId="0" xfId="0" applyFont="1" applyAlignment="1">
      <alignment horizontal="right"/>
    </xf>
    <xf numFmtId="0" fontId="16" fillId="5" borderId="1" xfId="0" applyFont="1" applyFill="1" applyBorder="1" applyAlignment="1">
      <alignment horizontal="left"/>
    </xf>
    <xf numFmtId="0" fontId="14" fillId="0" borderId="7" xfId="0" applyFont="1" applyBorder="1"/>
    <xf numFmtId="0" fontId="14" fillId="0" borderId="8" xfId="0" applyFont="1" applyBorder="1"/>
    <xf numFmtId="0" fontId="17" fillId="0" borderId="0" xfId="0" applyFont="1"/>
    <xf numFmtId="0" fontId="18" fillId="0" borderId="0" xfId="0" applyFont="1"/>
    <xf numFmtId="0" fontId="18" fillId="0" borderId="0" xfId="0" applyFont="1" applyAlignment="1">
      <alignment horizontal="right"/>
    </xf>
    <xf numFmtId="0" fontId="17" fillId="0" borderId="0" xfId="0" applyFont="1" applyAlignment="1">
      <alignment horizontal="right"/>
    </xf>
    <xf numFmtId="0" fontId="19" fillId="0" borderId="0" xfId="0" applyFont="1"/>
    <xf numFmtId="0" fontId="18" fillId="0" borderId="1" xfId="0" applyFont="1" applyBorder="1"/>
    <xf numFmtId="0" fontId="17" fillId="0" borderId="1" xfId="0" applyFont="1" applyBorder="1"/>
    <xf numFmtId="0" fontId="17" fillId="0" borderId="1" xfId="0" applyFont="1" applyBorder="1" applyAlignment="1">
      <alignment horizontal="right"/>
    </xf>
    <xf numFmtId="0" fontId="17" fillId="5" borderId="1" xfId="0" applyFont="1" applyFill="1" applyBorder="1"/>
    <xf numFmtId="0" fontId="20" fillId="0" borderId="0" xfId="0" applyFont="1"/>
    <xf numFmtId="0" fontId="17" fillId="0" borderId="2" xfId="0" applyFont="1" applyBorder="1" applyAlignment="1">
      <alignment horizontal="right"/>
    </xf>
    <xf numFmtId="0" fontId="17" fillId="0" borderId="3" xfId="0" applyFont="1" applyBorder="1" applyAlignment="1">
      <alignment horizontal="right"/>
    </xf>
    <xf numFmtId="0" fontId="17" fillId="0" borderId="4" xfId="0" applyFont="1" applyBorder="1" applyAlignment="1">
      <alignment horizontal="right"/>
    </xf>
    <xf numFmtId="0" fontId="17" fillId="0" borderId="5" xfId="0" applyFont="1" applyBorder="1" applyAlignment="1">
      <alignment horizontal="right"/>
    </xf>
    <xf numFmtId="0" fontId="17" fillId="0" borderId="6" xfId="0" applyFont="1" applyBorder="1" applyAlignment="1">
      <alignment horizontal="right"/>
    </xf>
    <xf numFmtId="0" fontId="17" fillId="0" borderId="7" xfId="0" applyFont="1" applyBorder="1" applyAlignment="1">
      <alignment horizontal="right"/>
    </xf>
    <xf numFmtId="0" fontId="17" fillId="0" borderId="8" xfId="0" applyFont="1" applyBorder="1" applyAlignment="1">
      <alignment horizontal="right"/>
    </xf>
    <xf numFmtId="0" fontId="17" fillId="0" borderId="9" xfId="0" applyFont="1" applyBorder="1" applyAlignment="1">
      <alignment horizontal="right"/>
    </xf>
    <xf numFmtId="0" fontId="17" fillId="9" borderId="2" xfId="0" applyFont="1" applyFill="1" applyBorder="1" applyAlignment="1">
      <alignment horizontal="right"/>
    </xf>
    <xf numFmtId="0" fontId="17" fillId="9" borderId="3" xfId="0" applyFont="1" applyFill="1" applyBorder="1" applyAlignment="1">
      <alignment horizontal="right"/>
    </xf>
    <xf numFmtId="0" fontId="17" fillId="9" borderId="4" xfId="0" applyFont="1" applyFill="1" applyBorder="1" applyAlignment="1">
      <alignment horizontal="right"/>
    </xf>
    <xf numFmtId="0" fontId="17" fillId="9" borderId="5" xfId="0" applyFont="1" applyFill="1" applyBorder="1" applyAlignment="1">
      <alignment horizontal="right"/>
    </xf>
    <xf numFmtId="0" fontId="17" fillId="9" borderId="0" xfId="0" applyFont="1" applyFill="1" applyAlignment="1">
      <alignment horizontal="right"/>
    </xf>
    <xf numFmtId="0" fontId="17" fillId="9" borderId="6" xfId="0" applyFont="1" applyFill="1" applyBorder="1" applyAlignment="1">
      <alignment horizontal="right"/>
    </xf>
    <xf numFmtId="0" fontId="17" fillId="9" borderId="7" xfId="0" applyFont="1" applyFill="1" applyBorder="1" applyAlignment="1">
      <alignment horizontal="right"/>
    </xf>
    <xf numFmtId="0" fontId="17" fillId="9" borderId="8" xfId="0" applyFont="1" applyFill="1" applyBorder="1" applyAlignment="1">
      <alignment horizontal="right"/>
    </xf>
    <xf numFmtId="0" fontId="17" fillId="9" borderId="9" xfId="0" applyFont="1" applyFill="1" applyBorder="1" applyAlignment="1">
      <alignment horizontal="right"/>
    </xf>
    <xf numFmtId="0" fontId="21" fillId="0" borderId="0" xfId="0" applyFont="1"/>
    <xf numFmtId="0" fontId="22" fillId="0" borderId="0" xfId="0" applyFont="1"/>
    <xf numFmtId="0" fontId="15" fillId="0" borderId="0" xfId="0" applyFont="1"/>
    <xf numFmtId="0" fontId="14" fillId="0" borderId="0" xfId="0" applyFont="1"/>
    <xf numFmtId="0" fontId="17" fillId="10" borderId="2" xfId="0" applyFont="1" applyFill="1" applyBorder="1" applyAlignment="1">
      <alignment horizontal="center"/>
    </xf>
    <xf numFmtId="0" fontId="17" fillId="10" borderId="3" xfId="0" applyFont="1" applyFill="1" applyBorder="1" applyAlignment="1">
      <alignment horizontal="center"/>
    </xf>
    <xf numFmtId="0" fontId="17" fillId="10" borderId="4" xfId="0" applyFont="1" applyFill="1" applyBorder="1" applyAlignment="1">
      <alignment horizontal="center"/>
    </xf>
    <xf numFmtId="0" fontId="17" fillId="10" borderId="5" xfId="0" applyFont="1" applyFill="1" applyBorder="1" applyAlignment="1">
      <alignment horizontal="center"/>
    </xf>
    <xf numFmtId="0" fontId="17" fillId="10" borderId="0" xfId="0" applyFont="1" applyFill="1" applyAlignment="1">
      <alignment horizontal="center"/>
    </xf>
    <xf numFmtId="0" fontId="17" fillId="10" borderId="6" xfId="0" applyFont="1" applyFill="1" applyBorder="1" applyAlignment="1">
      <alignment horizontal="center"/>
    </xf>
    <xf numFmtId="0" fontId="17" fillId="10" borderId="7" xfId="0" applyFont="1" applyFill="1" applyBorder="1" applyAlignment="1">
      <alignment horizontal="center"/>
    </xf>
    <xf numFmtId="0" fontId="17" fillId="10" borderId="8" xfId="0" applyFont="1" applyFill="1" applyBorder="1" applyAlignment="1">
      <alignment horizontal="center"/>
    </xf>
    <xf numFmtId="0" fontId="17" fillId="10" borderId="9" xfId="0" applyFont="1" applyFill="1" applyBorder="1" applyAlignment="1">
      <alignment horizontal="center"/>
    </xf>
    <xf numFmtId="0" fontId="18" fillId="5" borderId="1" xfId="0" applyFont="1" applyFill="1" applyBorder="1"/>
    <xf numFmtId="0" fontId="23" fillId="0" borderId="0" xfId="0" applyFont="1"/>
    <xf numFmtId="0" fontId="17" fillId="5" borderId="0" xfId="0" applyFont="1" applyFill="1"/>
    <xf numFmtId="0" fontId="18" fillId="0" borderId="2" xfId="0" applyFont="1" applyBorder="1"/>
    <xf numFmtId="0" fontId="24" fillId="0" borderId="3" xfId="0" applyFont="1" applyBorder="1"/>
    <xf numFmtId="0" fontId="25" fillId="0" borderId="3" xfId="0" applyFont="1" applyBorder="1"/>
    <xf numFmtId="0" fontId="17" fillId="0" borderId="5" xfId="0" applyFont="1" applyBorder="1"/>
    <xf numFmtId="0" fontId="17" fillId="5" borderId="1" xfId="0" applyFont="1" applyFill="1" applyBorder="1" applyAlignment="1">
      <alignment horizontal="right"/>
    </xf>
    <xf numFmtId="0" fontId="18" fillId="0" borderId="5" xfId="0" applyFont="1" applyBorder="1"/>
    <xf numFmtId="0" fontId="17" fillId="0" borderId="8" xfId="0" applyFont="1" applyBorder="1"/>
    <xf numFmtId="0" fontId="17" fillId="12" borderId="1" xfId="0" applyFont="1" applyFill="1" applyBorder="1"/>
    <xf numFmtId="0" fontId="18" fillId="0" borderId="0" xfId="0" applyFont="1" applyAlignment="1">
      <alignment horizontal="left"/>
    </xf>
    <xf numFmtId="0" fontId="17" fillId="0" borderId="0" xfId="0" applyFont="1" applyAlignment="1">
      <alignment horizontal="left"/>
    </xf>
    <xf numFmtId="0" fontId="17" fillId="0" borderId="6" xfId="0" applyFont="1" applyBorder="1"/>
    <xf numFmtId="0" fontId="17" fillId="0" borderId="7" xfId="0" applyFont="1" applyBorder="1"/>
    <xf numFmtId="0" fontId="18" fillId="0" borderId="0" xfId="0" applyFont="1" applyAlignment="1">
      <alignment horizontal="center"/>
    </xf>
    <xf numFmtId="0" fontId="18" fillId="5" borderId="0" xfId="0" applyFont="1" applyFill="1"/>
    <xf numFmtId="0" fontId="26" fillId="12" borderId="0" xfId="0" applyFont="1" applyFill="1"/>
    <xf numFmtId="0" fontId="27" fillId="12" borderId="0" xfId="0" applyFont="1" applyFill="1"/>
    <xf numFmtId="0" fontId="17" fillId="0" borderId="1" xfId="0" applyFont="1" applyBorder="1" applyAlignment="1">
      <alignment horizontal="center"/>
    </xf>
    <xf numFmtId="0" fontId="17" fillId="0" borderId="1" xfId="0" applyFont="1" applyBorder="1" applyAlignment="1">
      <alignment horizontal="left"/>
    </xf>
    <xf numFmtId="0" fontId="28" fillId="12" borderId="0" xfId="0" applyFont="1" applyFill="1"/>
    <xf numFmtId="0" fontId="17" fillId="0" borderId="0" xfId="0" applyFont="1" applyAlignment="1">
      <alignment horizontal="center"/>
    </xf>
    <xf numFmtId="0" fontId="17" fillId="5" borderId="0" xfId="0" applyFont="1" applyFill="1" applyAlignment="1">
      <alignment horizontal="left"/>
    </xf>
    <xf numFmtId="0" fontId="29" fillId="0" borderId="0" xfId="0" applyFont="1"/>
    <xf numFmtId="0" fontId="18" fillId="0" borderId="1" xfId="0" applyFont="1" applyBorder="1" applyAlignment="1">
      <alignment horizontal="center"/>
    </xf>
    <xf numFmtId="0" fontId="17" fillId="5" borderId="1" xfId="0" applyFont="1" applyFill="1" applyBorder="1" applyAlignment="1">
      <alignment horizontal="center"/>
    </xf>
    <xf numFmtId="0" fontId="18" fillId="0" borderId="3" xfId="0" applyFont="1" applyBorder="1"/>
    <xf numFmtId="0" fontId="17" fillId="0" borderId="3" xfId="0" applyFont="1" applyBorder="1"/>
    <xf numFmtId="0" fontId="17" fillId="0" borderId="4" xfId="0" applyFont="1" applyBorder="1"/>
    <xf numFmtId="0" fontId="17" fillId="14" borderId="3" xfId="0" applyFont="1" applyFill="1" applyBorder="1"/>
    <xf numFmtId="0" fontId="17" fillId="14" borderId="3" xfId="0" applyFont="1" applyFill="1" applyBorder="1" applyAlignment="1">
      <alignment horizontal="right"/>
    </xf>
    <xf numFmtId="0" fontId="17" fillId="14" borderId="0" xfId="0" applyFont="1" applyFill="1"/>
    <xf numFmtId="0" fontId="17" fillId="14" borderId="0" xfId="0" applyFont="1" applyFill="1" applyAlignment="1">
      <alignment horizontal="right"/>
    </xf>
    <xf numFmtId="0" fontId="31" fillId="0" borderId="0" xfId="0" applyFont="1"/>
    <xf numFmtId="0" fontId="32" fillId="0" borderId="0" xfId="0" applyFont="1"/>
    <xf numFmtId="0" fontId="31" fillId="0" borderId="1" xfId="0" applyFont="1" applyBorder="1"/>
    <xf numFmtId="0" fontId="32" fillId="0" borderId="1" xfId="0" applyFont="1" applyBorder="1" applyAlignment="1">
      <alignment horizontal="right"/>
    </xf>
    <xf numFmtId="0" fontId="32" fillId="0" borderId="1" xfId="0" applyFont="1" applyBorder="1"/>
    <xf numFmtId="0" fontId="18" fillId="15" borderId="1" xfId="0" applyFont="1" applyFill="1" applyBorder="1"/>
    <xf numFmtId="0" fontId="33" fillId="0" borderId="0" xfId="0" applyFont="1"/>
    <xf numFmtId="0" fontId="32" fillId="5" borderId="1" xfId="0" applyFont="1" applyFill="1" applyBorder="1"/>
    <xf numFmtId="0" fontId="17" fillId="16" borderId="0" xfId="0" applyFont="1" applyFill="1" applyAlignment="1">
      <alignment horizontal="right"/>
    </xf>
    <xf numFmtId="0" fontId="31" fillId="15" borderId="1" xfId="0" applyFont="1" applyFill="1" applyBorder="1"/>
    <xf numFmtId="0" fontId="32" fillId="5" borderId="0" xfId="0" applyFont="1" applyFill="1"/>
    <xf numFmtId="0" fontId="35" fillId="5" borderId="0" xfId="0" applyFont="1" applyFill="1"/>
    <xf numFmtId="0" fontId="35" fillId="0" borderId="0" xfId="0" quotePrefix="1" applyFont="1"/>
    <xf numFmtId="0" fontId="36" fillId="0" borderId="0" xfId="0" quotePrefix="1" applyFont="1"/>
    <xf numFmtId="0" fontId="35" fillId="0" borderId="0" xfId="0" applyFont="1"/>
    <xf numFmtId="0" fontId="38" fillId="0" borderId="1" xfId="0" applyFont="1" applyBorder="1"/>
    <xf numFmtId="0" fontId="39" fillId="0" borderId="1" xfId="0" applyFont="1" applyBorder="1"/>
    <xf numFmtId="0" fontId="25" fillId="0" borderId="0" xfId="0" applyFont="1"/>
    <xf numFmtId="0" fontId="18" fillId="17" borderId="1" xfId="0" applyFont="1" applyFill="1" applyBorder="1"/>
    <xf numFmtId="0" fontId="17" fillId="17" borderId="1" xfId="0" applyFont="1" applyFill="1" applyBorder="1"/>
    <xf numFmtId="0" fontId="17" fillId="17" borderId="1" xfId="0" applyFont="1" applyFill="1" applyBorder="1" applyAlignment="1">
      <alignment horizontal="right"/>
    </xf>
    <xf numFmtId="0" fontId="40" fillId="0" borderId="0" xfId="0" applyFont="1"/>
    <xf numFmtId="0" fontId="18" fillId="18" borderId="1" xfId="0" applyFont="1" applyFill="1" applyBorder="1"/>
    <xf numFmtId="0" fontId="18" fillId="3" borderId="1" xfId="0" applyFont="1" applyFill="1" applyBorder="1"/>
    <xf numFmtId="0" fontId="17" fillId="18" borderId="1" xfId="0" applyFont="1" applyFill="1" applyBorder="1" applyAlignment="1">
      <alignment horizontal="right"/>
    </xf>
    <xf numFmtId="0" fontId="17" fillId="3" borderId="1" xfId="0" applyFont="1" applyFill="1" applyBorder="1" applyAlignment="1">
      <alignment horizontal="right"/>
    </xf>
    <xf numFmtId="0" fontId="41" fillId="10" borderId="0" xfId="0" applyFont="1" applyFill="1"/>
    <xf numFmtId="3" fontId="17" fillId="17" borderId="1" xfId="0" applyNumberFormat="1" applyFont="1" applyFill="1" applyBorder="1" applyAlignment="1">
      <alignment horizontal="right"/>
    </xf>
    <xf numFmtId="3" fontId="17" fillId="0" borderId="1" xfId="0" applyNumberFormat="1" applyFont="1" applyBorder="1"/>
    <xf numFmtId="0" fontId="17" fillId="0" borderId="0" xfId="0" applyFont="1" applyAlignment="1">
      <alignment wrapText="1"/>
    </xf>
    <xf numFmtId="165" fontId="17" fillId="8" borderId="0" xfId="0" applyNumberFormat="1" applyFont="1" applyFill="1" applyAlignment="1">
      <alignment horizontal="right"/>
    </xf>
    <xf numFmtId="164" fontId="17" fillId="0" borderId="0" xfId="0" applyNumberFormat="1" applyFont="1" applyAlignment="1">
      <alignment horizontal="right"/>
    </xf>
    <xf numFmtId="0" fontId="49" fillId="0" borderId="0" xfId="0" applyFont="1"/>
    <xf numFmtId="0" fontId="48" fillId="0" borderId="16" xfId="0" applyFont="1" applyBorder="1" applyAlignment="1">
      <alignment wrapText="1"/>
    </xf>
    <xf numFmtId="0" fontId="50" fillId="0" borderId="16" xfId="0" applyFont="1" applyBorder="1"/>
    <xf numFmtId="3" fontId="51" fillId="0" borderId="16" xfId="0" applyNumberFormat="1" applyFont="1" applyBorder="1"/>
    <xf numFmtId="0" fontId="52" fillId="0" borderId="16" xfId="0" applyFont="1" applyBorder="1"/>
    <xf numFmtId="0" fontId="53" fillId="0" borderId="16" xfId="0" applyFont="1" applyBorder="1"/>
    <xf numFmtId="0" fontId="49" fillId="0" borderId="0" xfId="0" applyFont="1" applyAlignment="1">
      <alignment wrapText="1"/>
    </xf>
    <xf numFmtId="0" fontId="49" fillId="19" borderId="0" xfId="0" applyFont="1" applyFill="1"/>
    <xf numFmtId="0" fontId="48" fillId="0" borderId="0" xfId="0" applyFont="1"/>
    <xf numFmtId="0" fontId="49" fillId="0" borderId="16" xfId="0" applyFont="1" applyBorder="1"/>
    <xf numFmtId="0" fontId="49" fillId="19" borderId="1" xfId="0" applyFont="1" applyFill="1" applyBorder="1"/>
    <xf numFmtId="0" fontId="49" fillId="0" borderId="1" xfId="0" applyFont="1" applyBorder="1"/>
    <xf numFmtId="0" fontId="50" fillId="0" borderId="0" xfId="0" applyFont="1"/>
    <xf numFmtId="0" fontId="20" fillId="0" borderId="2" xfId="0" applyFont="1" applyBorder="1"/>
    <xf numFmtId="0" fontId="20" fillId="0" borderId="6" xfId="0" applyFont="1" applyBorder="1"/>
    <xf numFmtId="0" fontId="1" fillId="2" borderId="1" xfId="0" applyFont="1" applyFill="1" applyBorder="1"/>
    <xf numFmtId="0" fontId="1" fillId="3" borderId="2" xfId="0" applyFont="1" applyFill="1" applyBorder="1"/>
    <xf numFmtId="0" fontId="1" fillId="3" borderId="3" xfId="0" applyFont="1" applyFill="1" applyBorder="1"/>
    <xf numFmtId="0" fontId="1" fillId="3" borderId="4" xfId="0" applyFont="1" applyFill="1" applyBorder="1"/>
    <xf numFmtId="0" fontId="1" fillId="3" borderId="5" xfId="0" applyFont="1" applyFill="1" applyBorder="1"/>
    <xf numFmtId="0" fontId="1" fillId="3" borderId="0" xfId="0" applyFont="1" applyFill="1"/>
    <xf numFmtId="0" fontId="1" fillId="3" borderId="6" xfId="0" applyFont="1" applyFill="1" applyBorder="1"/>
    <xf numFmtId="0" fontId="1" fillId="3" borderId="7" xfId="0" applyFont="1" applyFill="1" applyBorder="1"/>
    <xf numFmtId="0" fontId="1" fillId="3" borderId="8" xfId="0" applyFont="1" applyFill="1" applyBorder="1"/>
    <xf numFmtId="0" fontId="1" fillId="3" borderId="9" xfId="0" applyFont="1" applyFill="1" applyBorder="1"/>
    <xf numFmtId="0" fontId="1" fillId="0" borderId="0" xfId="0" applyFont="1"/>
    <xf numFmtId="0" fontId="1" fillId="0" borderId="1" xfId="0" applyFont="1" applyBorder="1"/>
    <xf numFmtId="164" fontId="1" fillId="0" borderId="1" xfId="0" applyNumberFormat="1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9" xfId="0" applyFont="1" applyBorder="1"/>
    <xf numFmtId="0" fontId="1" fillId="11" borderId="5" xfId="0" applyFont="1" applyFill="1" applyBorder="1"/>
    <xf numFmtId="0" fontId="1" fillId="11" borderId="0" xfId="0" applyFont="1" applyFill="1"/>
    <xf numFmtId="0" fontId="1" fillId="11" borderId="6" xfId="0" applyFont="1" applyFill="1" applyBorder="1"/>
    <xf numFmtId="0" fontId="1" fillId="0" borderId="6" xfId="0" applyFont="1" applyBorder="1"/>
    <xf numFmtId="0" fontId="1" fillId="0" borderId="5" xfId="0" applyFont="1" applyBorder="1"/>
    <xf numFmtId="0" fontId="1" fillId="0" borderId="7" xfId="0" applyFont="1" applyBorder="1"/>
    <xf numFmtId="0" fontId="1" fillId="0" borderId="8" xfId="0" applyFont="1" applyBorder="1"/>
    <xf numFmtId="0" fontId="5" fillId="0" borderId="10" xfId="0" applyFont="1" applyBorder="1"/>
    <xf numFmtId="0" fontId="7" fillId="0" borderId="11" xfId="0" applyFont="1" applyBorder="1"/>
    <xf numFmtId="0" fontId="7" fillId="0" borderId="12" xfId="0" applyFont="1" applyBorder="1"/>
    <xf numFmtId="0" fontId="5" fillId="0" borderId="10" xfId="0" applyFont="1" applyBorder="1" applyAlignment="1">
      <alignment wrapText="1"/>
    </xf>
    <xf numFmtId="0" fontId="1" fillId="4" borderId="2" xfId="0" applyFont="1" applyFill="1" applyBorder="1"/>
    <xf numFmtId="0" fontId="7" fillId="0" borderId="3" xfId="0" applyFont="1" applyBorder="1"/>
    <xf numFmtId="0" fontId="7" fillId="0" borderId="4" xfId="0" applyFont="1" applyBorder="1"/>
    <xf numFmtId="0" fontId="7" fillId="0" borderId="5" xfId="0" applyFont="1" applyBorder="1"/>
    <xf numFmtId="0" fontId="0" fillId="0" borderId="0" xfId="0"/>
    <xf numFmtId="0" fontId="7" fillId="0" borderId="6" xfId="0" applyFont="1" applyBorder="1"/>
    <xf numFmtId="0" fontId="7" fillId="0" borderId="7" xfId="0" applyFont="1" applyBorder="1"/>
    <xf numFmtId="0" fontId="7" fillId="0" borderId="8" xfId="0" applyFont="1" applyBorder="1"/>
    <xf numFmtId="0" fontId="7" fillId="0" borderId="9" xfId="0" applyFont="1" applyBorder="1"/>
    <xf numFmtId="0" fontId="17" fillId="0" borderId="0" xfId="0" applyFont="1"/>
    <xf numFmtId="0" fontId="18" fillId="0" borderId="0" xfId="0" applyFont="1"/>
    <xf numFmtId="0" fontId="18" fillId="0" borderId="0" xfId="0" applyFont="1" applyAlignment="1">
      <alignment horizontal="center"/>
    </xf>
    <xf numFmtId="0" fontId="47" fillId="11" borderId="2" xfId="0" applyFont="1" applyFill="1" applyBorder="1" applyAlignment="1">
      <alignment wrapText="1"/>
    </xf>
    <xf numFmtId="0" fontId="14" fillId="11" borderId="5" xfId="0" applyFont="1" applyFill="1" applyBorder="1"/>
    <xf numFmtId="0" fontId="17" fillId="0" borderId="2" xfId="0" applyFont="1" applyBorder="1" applyAlignment="1">
      <alignment horizontal="left"/>
    </xf>
    <xf numFmtId="0" fontId="18" fillId="13" borderId="2" xfId="0" applyFont="1" applyFill="1" applyBorder="1" applyAlignment="1">
      <alignment horizontal="left"/>
    </xf>
    <xf numFmtId="0" fontId="17" fillId="0" borderId="0" xfId="0" applyFont="1" applyAlignment="1">
      <alignment horizontal="right"/>
    </xf>
    <xf numFmtId="0" fontId="18" fillId="0" borderId="3" xfId="0" applyFont="1" applyBorder="1"/>
    <xf numFmtId="0" fontId="32" fillId="0" borderId="0" xfId="0" applyFont="1"/>
    <xf numFmtId="0" fontId="34" fillId="0" borderId="2" xfId="0" applyFont="1" applyBorder="1" applyAlignment="1">
      <alignment horizontal="center"/>
    </xf>
    <xf numFmtId="0" fontId="30" fillId="0" borderId="2" xfId="0" applyFont="1" applyBorder="1" applyAlignment="1">
      <alignment horizontal="center"/>
    </xf>
    <xf numFmtId="0" fontId="37" fillId="0" borderId="2" xfId="0" applyFont="1" applyBorder="1" applyAlignment="1">
      <alignment horizontal="center"/>
    </xf>
    <xf numFmtId="0" fontId="48" fillId="0" borderId="0" xfId="0" applyFont="1" applyAlignment="1">
      <alignment wrapText="1" readingOrder="1"/>
    </xf>
    <xf numFmtId="0" fontId="49" fillId="0" borderId="6" xfId="0" applyFont="1" applyBorder="1" applyAlignment="1">
      <alignment wrapText="1"/>
    </xf>
    <xf numFmtId="0" fontId="18" fillId="0" borderId="0" xfId="0" applyFont="1" applyAlignment="1">
      <alignment horizontal="left"/>
    </xf>
    <xf numFmtId="0" fontId="17" fillId="0" borderId="0" xfId="0" applyFont="1" applyAlignment="1">
      <alignment horizontal="center"/>
    </xf>
    <xf numFmtId="0" fontId="37" fillId="0" borderId="13" xfId="0" applyFont="1" applyBorder="1" applyAlignment="1">
      <alignment horizontal="center"/>
    </xf>
    <xf numFmtId="0" fontId="7" fillId="0" borderId="14" xfId="0" applyFont="1" applyBorder="1"/>
    <xf numFmtId="0" fontId="7" fillId="0" borderId="15" xfId="0" applyFont="1" applyBorder="1"/>
    <xf numFmtId="0" fontId="20" fillId="17" borderId="2" xfId="0" applyFont="1" applyFill="1" applyBorder="1" applyAlignment="1">
      <alignment horizontal="center"/>
    </xf>
    <xf numFmtId="0" fontId="42" fillId="0" borderId="2" xfId="0" applyFont="1" applyBorder="1" applyAlignment="1">
      <alignment horizontal="center"/>
    </xf>
    <xf numFmtId="0" fontId="20" fillId="18" borderId="2" xfId="0" applyFont="1" applyFill="1" applyBorder="1" applyAlignment="1">
      <alignment horizontal="center"/>
    </xf>
    <xf numFmtId="0" fontId="20" fillId="3" borderId="2" xfId="0" applyFont="1" applyFill="1" applyBorder="1" applyAlignment="1">
      <alignment horizontal="center"/>
    </xf>
    <xf numFmtId="0" fontId="17" fillId="0" borderId="0" xfId="0" applyFont="1" applyAlignment="1">
      <alignment horizontal="left"/>
    </xf>
    <xf numFmtId="0" fontId="17" fillId="0" borderId="6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about:blank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s://excel-practice-online.com/functions/sumif-functio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0"/>
  <sheetViews>
    <sheetView workbookViewId="0"/>
  </sheetViews>
  <sheetFormatPr defaultColWidth="14.3984375" defaultRowHeight="15" customHeight="1"/>
  <cols>
    <col min="1" max="1" width="45.3984375" customWidth="1"/>
    <col min="2" max="26" width="8.73046875" customWidth="1"/>
  </cols>
  <sheetData>
    <row r="1" spans="1:2" ht="14.25" customHeight="1">
      <c r="A1" s="1" t="s">
        <v>0</v>
      </c>
    </row>
    <row r="2" spans="1:2" ht="14.25" customHeight="1">
      <c r="A2" s="155"/>
      <c r="B2" s="2" t="s">
        <v>1</v>
      </c>
    </row>
    <row r="3" spans="1:2" ht="14.25" customHeight="1"/>
    <row r="4" spans="1:2" ht="14.25" customHeight="1">
      <c r="A4" s="1" t="s">
        <v>2</v>
      </c>
    </row>
    <row r="5" spans="1:2" ht="14.25" customHeight="1">
      <c r="A5" s="155"/>
      <c r="B5" s="2" t="s">
        <v>3</v>
      </c>
    </row>
    <row r="6" spans="1:2" ht="14.25" customHeight="1"/>
    <row r="7" spans="1:2" ht="14.25" customHeight="1">
      <c r="A7" s="3" t="s">
        <v>4</v>
      </c>
    </row>
    <row r="8" spans="1:2" ht="14.25" customHeight="1">
      <c r="A8" s="155"/>
      <c r="B8" s="2" t="s">
        <v>5</v>
      </c>
    </row>
    <row r="9" spans="1:2" ht="14.25" customHeight="1"/>
    <row r="10" spans="1:2" ht="14.25" customHeight="1">
      <c r="A10" s="1" t="s">
        <v>6</v>
      </c>
    </row>
    <row r="11" spans="1:2" ht="14.25" customHeight="1">
      <c r="A11" s="155"/>
      <c r="B11" s="2" t="s">
        <v>7</v>
      </c>
    </row>
    <row r="12" spans="1:2" ht="14.25" customHeight="1"/>
    <row r="13" spans="1:2" ht="14.25" customHeight="1"/>
    <row r="14" spans="1:2" ht="14.25" customHeight="1"/>
    <row r="15" spans="1:2" ht="14.25" customHeight="1"/>
    <row r="16" spans="1:2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3:J21"/>
  <sheetViews>
    <sheetView workbookViewId="0"/>
  </sheetViews>
  <sheetFormatPr defaultColWidth="14.3984375" defaultRowHeight="15" customHeight="1"/>
  <cols>
    <col min="3" max="3" width="32" customWidth="1"/>
    <col min="4" max="4" width="29.1328125" customWidth="1"/>
  </cols>
  <sheetData>
    <row r="3" spans="2:10" ht="15" customHeight="1">
      <c r="B3" s="4" t="s">
        <v>8</v>
      </c>
      <c r="C3" s="5" t="s">
        <v>9</v>
      </c>
    </row>
    <row r="6" spans="2:10" ht="14.25">
      <c r="E6" s="156"/>
      <c r="F6" s="157"/>
      <c r="G6" s="157"/>
      <c r="H6" s="157"/>
      <c r="I6" s="157"/>
      <c r="J6" s="158"/>
    </row>
    <row r="7" spans="2:10" ht="14.25">
      <c r="E7" s="159"/>
      <c r="F7" s="160"/>
      <c r="G7" s="160"/>
      <c r="H7" s="160"/>
      <c r="I7" s="160"/>
      <c r="J7" s="161"/>
    </row>
    <row r="8" spans="2:10" ht="14.25">
      <c r="E8" s="159"/>
      <c r="F8" s="160"/>
      <c r="G8" s="160"/>
      <c r="H8" s="160"/>
      <c r="I8" s="160"/>
      <c r="J8" s="161"/>
    </row>
    <row r="9" spans="2:10" ht="15" customHeight="1">
      <c r="E9" s="159"/>
      <c r="F9" s="160"/>
      <c r="G9" s="6" t="s">
        <v>10</v>
      </c>
      <c r="H9" s="160"/>
      <c r="I9" s="160"/>
      <c r="J9" s="161"/>
    </row>
    <row r="10" spans="2:10" ht="14.25">
      <c r="E10" s="159"/>
      <c r="F10" s="160"/>
      <c r="G10" s="160"/>
      <c r="H10" s="160"/>
      <c r="I10" s="160"/>
      <c r="J10" s="161"/>
    </row>
    <row r="11" spans="2:10" ht="14.25">
      <c r="E11" s="159"/>
      <c r="F11" s="160"/>
      <c r="G11" s="160"/>
      <c r="H11" s="160"/>
      <c r="I11" s="160"/>
      <c r="J11" s="161"/>
    </row>
    <row r="12" spans="2:10" ht="14.25">
      <c r="E12" s="162"/>
      <c r="F12" s="163"/>
      <c r="G12" s="163"/>
      <c r="H12" s="163"/>
      <c r="I12" s="163"/>
      <c r="J12" s="164"/>
    </row>
    <row r="18" spans="2:3" ht="14.25">
      <c r="B18" s="179" t="s">
        <v>8</v>
      </c>
      <c r="C18" s="182" t="s">
        <v>11</v>
      </c>
    </row>
    <row r="19" spans="2:3" ht="14.25">
      <c r="B19" s="180"/>
      <c r="C19" s="180"/>
    </row>
    <row r="20" spans="2:3" ht="14.25">
      <c r="B20" s="180"/>
      <c r="C20" s="180"/>
    </row>
    <row r="21" spans="2:3" ht="14.25">
      <c r="B21" s="181"/>
      <c r="C21" s="181"/>
    </row>
  </sheetData>
  <mergeCells count="2">
    <mergeCell ref="B18:B21"/>
    <mergeCell ref="C18:C2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5:L24"/>
  <sheetViews>
    <sheetView workbookViewId="0"/>
  </sheetViews>
  <sheetFormatPr defaultColWidth="14.3984375" defaultRowHeight="15" customHeight="1"/>
  <cols>
    <col min="4" max="4" width="34.3984375" customWidth="1"/>
  </cols>
  <sheetData>
    <row r="5" spans="1:12" ht="15" customHeight="1">
      <c r="B5" s="7" t="s">
        <v>12</v>
      </c>
      <c r="C5" s="8"/>
      <c r="D5" s="8"/>
      <c r="E5" s="9"/>
      <c r="F5" s="9"/>
      <c r="G5" s="10"/>
      <c r="I5" s="183" t="s">
        <v>13</v>
      </c>
      <c r="J5" s="184"/>
      <c r="K5" s="184"/>
      <c r="L5" s="185"/>
    </row>
    <row r="6" spans="1:12" ht="15.75">
      <c r="B6" s="9"/>
      <c r="C6" s="9"/>
      <c r="D6" s="9"/>
      <c r="E6" s="9"/>
      <c r="F6" s="9"/>
      <c r="G6" s="10"/>
      <c r="I6" s="186"/>
      <c r="J6" s="187"/>
      <c r="K6" s="187"/>
      <c r="L6" s="188"/>
    </row>
    <row r="7" spans="1:12" ht="15.75">
      <c r="B7" s="11" t="s">
        <v>14</v>
      </c>
      <c r="C7" s="11" t="s">
        <v>15</v>
      </c>
      <c r="D7" s="11" t="s">
        <v>16</v>
      </c>
      <c r="E7" s="9"/>
      <c r="F7" s="9"/>
      <c r="G7" s="10"/>
      <c r="I7" s="186"/>
      <c r="J7" s="187"/>
      <c r="K7" s="187"/>
      <c r="L7" s="188"/>
    </row>
    <row r="8" spans="1:12" ht="15.75">
      <c r="B8" s="12">
        <v>19</v>
      </c>
      <c r="C8" s="12">
        <v>7</v>
      </c>
      <c r="D8" s="13"/>
      <c r="E8" s="14" t="s">
        <v>17</v>
      </c>
      <c r="F8" s="9"/>
      <c r="G8" s="10"/>
      <c r="I8" s="186"/>
      <c r="J8" s="187"/>
      <c r="K8" s="187"/>
      <c r="L8" s="188"/>
    </row>
    <row r="9" spans="1:12" ht="15.75">
      <c r="B9" s="9"/>
      <c r="C9" s="9"/>
      <c r="D9" s="9"/>
      <c r="E9" s="9"/>
      <c r="F9" s="9"/>
      <c r="G9" s="10"/>
      <c r="I9" s="186"/>
      <c r="J9" s="187"/>
      <c r="K9" s="187"/>
      <c r="L9" s="188"/>
    </row>
    <row r="10" spans="1:12" ht="15.75">
      <c r="A10" s="15"/>
      <c r="B10" s="11" t="s">
        <v>14</v>
      </c>
      <c r="C10" s="11" t="s">
        <v>15</v>
      </c>
      <c r="D10" s="11" t="s">
        <v>18</v>
      </c>
      <c r="E10" s="9"/>
      <c r="F10" s="9"/>
      <c r="G10" s="10"/>
      <c r="I10" s="189"/>
      <c r="J10" s="190"/>
      <c r="K10" s="190"/>
      <c r="L10" s="191"/>
    </row>
    <row r="11" spans="1:12" ht="15.75">
      <c r="B11" s="12">
        <v>18</v>
      </c>
      <c r="C11" s="12">
        <v>5</v>
      </c>
      <c r="D11" s="13"/>
      <c r="E11" s="14" t="s">
        <v>17</v>
      </c>
      <c r="F11" s="9"/>
      <c r="G11" s="10"/>
    </row>
    <row r="12" spans="1:12" ht="15.75">
      <c r="B12" s="9"/>
      <c r="C12" s="9"/>
      <c r="D12" s="9"/>
      <c r="E12" s="9"/>
      <c r="F12" s="9"/>
      <c r="G12" s="10"/>
    </row>
    <row r="13" spans="1:12" ht="15.75">
      <c r="B13" s="11" t="s">
        <v>14</v>
      </c>
      <c r="C13" s="11" t="s">
        <v>15</v>
      </c>
      <c r="D13" s="11" t="s">
        <v>19</v>
      </c>
      <c r="E13" s="9"/>
      <c r="F13" s="9"/>
      <c r="G13" s="10"/>
    </row>
    <row r="14" spans="1:12" ht="15.75">
      <c r="B14" s="12">
        <v>5</v>
      </c>
      <c r="C14" s="12">
        <v>8</v>
      </c>
      <c r="D14" s="13"/>
      <c r="E14" s="14" t="s">
        <v>17</v>
      </c>
      <c r="F14" s="9"/>
      <c r="G14" s="10"/>
    </row>
    <row r="15" spans="1:12" ht="15.75">
      <c r="B15" s="9"/>
      <c r="C15" s="9"/>
      <c r="D15" s="9"/>
      <c r="E15" s="9"/>
      <c r="F15" s="9"/>
      <c r="G15" s="10"/>
    </row>
    <row r="16" spans="1:12" ht="15.75">
      <c r="B16" s="11" t="s">
        <v>14</v>
      </c>
      <c r="C16" s="11" t="s">
        <v>15</v>
      </c>
      <c r="D16" s="11" t="s">
        <v>20</v>
      </c>
      <c r="E16" s="16"/>
      <c r="F16" s="9"/>
      <c r="G16" s="10"/>
    </row>
    <row r="17" spans="2:7" ht="15.75">
      <c r="B17" s="12">
        <v>144</v>
      </c>
      <c r="C17" s="12">
        <v>12</v>
      </c>
      <c r="D17" s="13"/>
      <c r="E17" s="14" t="s">
        <v>17</v>
      </c>
      <c r="F17" s="9"/>
      <c r="G17" s="10"/>
    </row>
    <row r="18" spans="2:7" ht="15.75">
      <c r="B18" s="1"/>
      <c r="C18" s="1"/>
      <c r="D18" s="1"/>
      <c r="E18" s="1"/>
      <c r="F18" s="1"/>
    </row>
    <row r="22" spans="2:7" ht="14.25">
      <c r="E22" s="165" t="s">
        <v>21</v>
      </c>
    </row>
    <row r="24" spans="2:7" ht="14.25">
      <c r="D24" s="165" t="str">
        <f>E22</f>
        <v>Hola</v>
      </c>
    </row>
  </sheetData>
  <mergeCells count="1">
    <mergeCell ref="I5:L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K36"/>
  <sheetViews>
    <sheetView workbookViewId="0">
      <selection activeCell="G5" sqref="G5"/>
    </sheetView>
  </sheetViews>
  <sheetFormatPr defaultColWidth="14.3984375" defaultRowHeight="15" customHeight="1"/>
  <cols>
    <col min="3" max="3" width="18.3984375" customWidth="1"/>
    <col min="6" max="6" width="18.265625" customWidth="1"/>
    <col min="7" max="7" width="17.3984375" customWidth="1"/>
  </cols>
  <sheetData>
    <row r="1" spans="1:8" ht="15" customHeight="1">
      <c r="A1" s="17" t="s">
        <v>14</v>
      </c>
      <c r="B1" s="17" t="s">
        <v>15</v>
      </c>
      <c r="C1" s="17" t="s">
        <v>22</v>
      </c>
      <c r="E1" s="166"/>
      <c r="F1" s="166" t="s">
        <v>23</v>
      </c>
      <c r="G1" s="18">
        <v>0.77</v>
      </c>
      <c r="H1" s="166"/>
    </row>
    <row r="2" spans="1:8" ht="14.25">
      <c r="A2" s="166">
        <v>11</v>
      </c>
      <c r="B2" s="166">
        <v>3</v>
      </c>
      <c r="C2" s="166"/>
    </row>
    <row r="3" spans="1:8" ht="15" customHeight="1">
      <c r="A3" s="166">
        <v>11</v>
      </c>
      <c r="B3" s="166">
        <v>13</v>
      </c>
      <c r="C3" s="166"/>
      <c r="E3" s="166"/>
      <c r="F3" s="17" t="s">
        <v>24</v>
      </c>
      <c r="G3" s="17" t="s">
        <v>25</v>
      </c>
      <c r="H3" s="166"/>
    </row>
    <row r="4" spans="1:8" ht="14.25">
      <c r="A4" s="166">
        <v>10</v>
      </c>
      <c r="B4" s="166">
        <v>12</v>
      </c>
      <c r="C4" s="166"/>
      <c r="E4" s="166"/>
      <c r="F4" s="167">
        <v>10185</v>
      </c>
      <c r="G4" s="167">
        <f>F4*$G$1</f>
        <v>7842.45</v>
      </c>
      <c r="H4" s="166"/>
    </row>
    <row r="5" spans="1:8" ht="14.25">
      <c r="A5" s="166">
        <v>17</v>
      </c>
      <c r="B5" s="166">
        <v>11</v>
      </c>
      <c r="C5" s="166"/>
      <c r="E5" s="166"/>
      <c r="F5" s="167">
        <v>11780</v>
      </c>
      <c r="G5" s="166"/>
      <c r="H5" s="166"/>
    </row>
    <row r="6" spans="1:8" ht="14.25">
      <c r="A6" s="166">
        <v>19</v>
      </c>
      <c r="B6" s="166">
        <v>6</v>
      </c>
      <c r="C6" s="166"/>
      <c r="E6" s="166"/>
      <c r="F6" s="167">
        <v>15023</v>
      </c>
      <c r="G6" s="166"/>
      <c r="H6" s="166"/>
    </row>
    <row r="7" spans="1:8" ht="14.25">
      <c r="A7" s="166">
        <v>20</v>
      </c>
      <c r="B7" s="166">
        <v>14</v>
      </c>
      <c r="C7" s="166"/>
      <c r="E7" s="166"/>
      <c r="F7" s="167">
        <v>19433</v>
      </c>
      <c r="G7" s="166"/>
      <c r="H7" s="166"/>
    </row>
    <row r="8" spans="1:8" ht="14.25">
      <c r="A8" s="166">
        <v>13</v>
      </c>
      <c r="B8" s="166">
        <v>13</v>
      </c>
      <c r="C8" s="166"/>
      <c r="E8" s="166"/>
      <c r="F8" s="167">
        <v>12775</v>
      </c>
      <c r="G8" s="166"/>
      <c r="H8" s="166"/>
    </row>
    <row r="9" spans="1:8" ht="14.25">
      <c r="A9" s="166">
        <v>9</v>
      </c>
      <c r="B9" s="166">
        <v>12</v>
      </c>
      <c r="C9" s="166"/>
      <c r="E9" s="166"/>
      <c r="F9" s="167">
        <v>17859</v>
      </c>
      <c r="G9" s="166"/>
      <c r="H9" s="166"/>
    </row>
    <row r="10" spans="1:8" ht="14.25">
      <c r="A10" s="166">
        <v>4</v>
      </c>
      <c r="B10" s="166">
        <v>7</v>
      </c>
      <c r="C10" s="166"/>
      <c r="E10" s="166"/>
      <c r="F10" s="167">
        <v>11222</v>
      </c>
      <c r="G10" s="166"/>
      <c r="H10" s="166"/>
    </row>
    <row r="11" spans="1:8" ht="14.25">
      <c r="A11" s="166">
        <v>8</v>
      </c>
      <c r="B11" s="166">
        <v>8</v>
      </c>
      <c r="C11" s="166"/>
      <c r="E11" s="166"/>
      <c r="F11" s="167">
        <v>10959</v>
      </c>
      <c r="G11" s="166"/>
      <c r="H11" s="166"/>
    </row>
    <row r="12" spans="1:8" ht="14.25">
      <c r="A12" s="166">
        <v>15</v>
      </c>
      <c r="B12" s="166">
        <v>9</v>
      </c>
      <c r="C12" s="166"/>
      <c r="E12" s="166"/>
      <c r="F12" s="167">
        <v>15300</v>
      </c>
      <c r="G12" s="166"/>
      <c r="H12" s="166"/>
    </row>
    <row r="13" spans="1:8" ht="14.25">
      <c r="E13" s="166"/>
      <c r="F13" s="167">
        <v>16592</v>
      </c>
      <c r="G13" s="166"/>
      <c r="H13" s="166"/>
    </row>
    <row r="14" spans="1:8" ht="14.25">
      <c r="E14" s="166"/>
      <c r="F14" s="167">
        <v>15065</v>
      </c>
      <c r="G14" s="166"/>
      <c r="H14" s="166"/>
    </row>
    <row r="15" spans="1:8" ht="14.25">
      <c r="E15" s="166"/>
      <c r="F15" s="167">
        <v>13451</v>
      </c>
      <c r="G15" s="166"/>
      <c r="H15" s="166"/>
    </row>
    <row r="16" spans="1:8" ht="14.25">
      <c r="E16" s="166"/>
      <c r="F16" s="167">
        <v>13729</v>
      </c>
      <c r="G16" s="166"/>
      <c r="H16" s="166"/>
    </row>
    <row r="17" spans="1:11" ht="14.25">
      <c r="E17" s="166"/>
      <c r="F17" s="167">
        <v>16378</v>
      </c>
      <c r="G17" s="166"/>
      <c r="H17" s="166"/>
    </row>
    <row r="26" spans="1:11" ht="14.25">
      <c r="A26" s="19"/>
      <c r="B26" s="20">
        <v>1</v>
      </c>
      <c r="C26" s="21">
        <v>2</v>
      </c>
      <c r="D26" s="21">
        <v>3</v>
      </c>
      <c r="E26" s="21">
        <v>4</v>
      </c>
      <c r="F26" s="21">
        <v>5</v>
      </c>
      <c r="G26" s="21">
        <v>6</v>
      </c>
      <c r="H26" s="21">
        <v>7</v>
      </c>
      <c r="I26" s="21">
        <v>8</v>
      </c>
      <c r="J26" s="21">
        <v>9</v>
      </c>
      <c r="K26" s="22">
        <v>10</v>
      </c>
    </row>
    <row r="27" spans="1:11" ht="14.25">
      <c r="A27" s="23">
        <v>1</v>
      </c>
      <c r="B27" s="166">
        <f t="shared" ref="B27:K27" si="0">$A27*B$26</f>
        <v>1</v>
      </c>
      <c r="C27" s="166">
        <f t="shared" si="0"/>
        <v>2</v>
      </c>
      <c r="D27" s="166">
        <f t="shared" si="0"/>
        <v>3</v>
      </c>
      <c r="E27" s="166">
        <f t="shared" si="0"/>
        <v>4</v>
      </c>
      <c r="F27" s="166">
        <f t="shared" si="0"/>
        <v>5</v>
      </c>
      <c r="G27" s="166">
        <f t="shared" si="0"/>
        <v>6</v>
      </c>
      <c r="H27" s="166">
        <f t="shared" si="0"/>
        <v>7</v>
      </c>
      <c r="I27" s="166">
        <f t="shared" si="0"/>
        <v>8</v>
      </c>
      <c r="J27" s="166">
        <f t="shared" si="0"/>
        <v>9</v>
      </c>
      <c r="K27" s="166">
        <f t="shared" si="0"/>
        <v>10</v>
      </c>
    </row>
    <row r="28" spans="1:11" ht="14.25">
      <c r="A28" s="23">
        <v>2</v>
      </c>
      <c r="B28" s="166">
        <f t="shared" ref="B28:K28" si="1">$A28*B$26</f>
        <v>2</v>
      </c>
      <c r="C28" s="166">
        <f t="shared" si="1"/>
        <v>4</v>
      </c>
      <c r="D28" s="166">
        <f t="shared" si="1"/>
        <v>6</v>
      </c>
      <c r="E28" s="166">
        <f t="shared" si="1"/>
        <v>8</v>
      </c>
      <c r="F28" s="166">
        <f t="shared" si="1"/>
        <v>10</v>
      </c>
      <c r="G28" s="166">
        <f t="shared" si="1"/>
        <v>12</v>
      </c>
      <c r="H28" s="166">
        <f t="shared" si="1"/>
        <v>14</v>
      </c>
      <c r="I28" s="166">
        <f t="shared" si="1"/>
        <v>16</v>
      </c>
      <c r="J28" s="166">
        <f t="shared" si="1"/>
        <v>18</v>
      </c>
      <c r="K28" s="166">
        <f t="shared" si="1"/>
        <v>20</v>
      </c>
    </row>
    <row r="29" spans="1:11" ht="14.25">
      <c r="A29" s="23">
        <v>3</v>
      </c>
      <c r="B29" s="166">
        <f t="shared" ref="B29:K29" si="2">$A29*B$26</f>
        <v>3</v>
      </c>
      <c r="C29" s="166">
        <f t="shared" si="2"/>
        <v>6</v>
      </c>
      <c r="D29" s="166">
        <f t="shared" si="2"/>
        <v>9</v>
      </c>
      <c r="E29" s="166">
        <f t="shared" si="2"/>
        <v>12</v>
      </c>
      <c r="F29" s="166">
        <f t="shared" si="2"/>
        <v>15</v>
      </c>
      <c r="G29" s="166">
        <f t="shared" si="2"/>
        <v>18</v>
      </c>
      <c r="H29" s="166">
        <f t="shared" si="2"/>
        <v>21</v>
      </c>
      <c r="I29" s="166">
        <f t="shared" si="2"/>
        <v>24</v>
      </c>
      <c r="J29" s="166">
        <f t="shared" si="2"/>
        <v>27</v>
      </c>
      <c r="K29" s="166">
        <f t="shared" si="2"/>
        <v>30</v>
      </c>
    </row>
    <row r="30" spans="1:11" ht="14.25">
      <c r="A30" s="23">
        <v>4</v>
      </c>
      <c r="B30" s="166">
        <f t="shared" ref="B30:K30" si="3">$A30*B$26</f>
        <v>4</v>
      </c>
      <c r="C30" s="166">
        <f t="shared" si="3"/>
        <v>8</v>
      </c>
      <c r="D30" s="166">
        <f t="shared" si="3"/>
        <v>12</v>
      </c>
      <c r="E30" s="166">
        <f t="shared" si="3"/>
        <v>16</v>
      </c>
      <c r="F30" s="166">
        <f t="shared" si="3"/>
        <v>20</v>
      </c>
      <c r="G30" s="166">
        <f t="shared" si="3"/>
        <v>24</v>
      </c>
      <c r="H30" s="166">
        <f t="shared" si="3"/>
        <v>28</v>
      </c>
      <c r="I30" s="166">
        <f t="shared" si="3"/>
        <v>32</v>
      </c>
      <c r="J30" s="166">
        <f t="shared" si="3"/>
        <v>36</v>
      </c>
      <c r="K30" s="166">
        <f t="shared" si="3"/>
        <v>40</v>
      </c>
    </row>
    <row r="31" spans="1:11" ht="14.25">
      <c r="A31" s="23">
        <v>5</v>
      </c>
      <c r="B31" s="166">
        <f t="shared" ref="B31:K31" si="4">$A31*B$26</f>
        <v>5</v>
      </c>
      <c r="C31" s="166">
        <f t="shared" si="4"/>
        <v>10</v>
      </c>
      <c r="D31" s="166">
        <f t="shared" si="4"/>
        <v>15</v>
      </c>
      <c r="E31" s="166">
        <f t="shared" si="4"/>
        <v>20</v>
      </c>
      <c r="F31" s="166">
        <f t="shared" si="4"/>
        <v>25</v>
      </c>
      <c r="G31" s="166">
        <f t="shared" si="4"/>
        <v>30</v>
      </c>
      <c r="H31" s="166">
        <f t="shared" si="4"/>
        <v>35</v>
      </c>
      <c r="I31" s="166">
        <f t="shared" si="4"/>
        <v>40</v>
      </c>
      <c r="J31" s="166">
        <f t="shared" si="4"/>
        <v>45</v>
      </c>
      <c r="K31" s="166">
        <f t="shared" si="4"/>
        <v>50</v>
      </c>
    </row>
    <row r="32" spans="1:11" ht="14.25">
      <c r="A32" s="23">
        <v>6</v>
      </c>
      <c r="B32" s="166">
        <f t="shared" ref="B32:K32" si="5">$A32*B$26</f>
        <v>6</v>
      </c>
      <c r="C32" s="166">
        <f t="shared" si="5"/>
        <v>12</v>
      </c>
      <c r="D32" s="166">
        <f t="shared" si="5"/>
        <v>18</v>
      </c>
      <c r="E32" s="166">
        <f t="shared" si="5"/>
        <v>24</v>
      </c>
      <c r="F32" s="166">
        <f t="shared" si="5"/>
        <v>30</v>
      </c>
      <c r="G32" s="166">
        <f t="shared" si="5"/>
        <v>36</v>
      </c>
      <c r="H32" s="166">
        <f t="shared" si="5"/>
        <v>42</v>
      </c>
      <c r="I32" s="166">
        <f t="shared" si="5"/>
        <v>48</v>
      </c>
      <c r="J32" s="166">
        <f t="shared" si="5"/>
        <v>54</v>
      </c>
      <c r="K32" s="166">
        <f t="shared" si="5"/>
        <v>60</v>
      </c>
    </row>
    <row r="33" spans="1:11" ht="14.25">
      <c r="A33" s="23">
        <v>7</v>
      </c>
      <c r="B33" s="166">
        <f t="shared" ref="B33:K33" si="6">$A33*B$26</f>
        <v>7</v>
      </c>
      <c r="C33" s="166">
        <f t="shared" si="6"/>
        <v>14</v>
      </c>
      <c r="D33" s="166">
        <f t="shared" si="6"/>
        <v>21</v>
      </c>
      <c r="E33" s="166">
        <f t="shared" si="6"/>
        <v>28</v>
      </c>
      <c r="F33" s="166">
        <f t="shared" si="6"/>
        <v>35</v>
      </c>
      <c r="G33" s="166">
        <f t="shared" si="6"/>
        <v>42</v>
      </c>
      <c r="H33" s="166">
        <f t="shared" si="6"/>
        <v>49</v>
      </c>
      <c r="I33" s="166">
        <f t="shared" si="6"/>
        <v>56</v>
      </c>
      <c r="J33" s="166">
        <f t="shared" si="6"/>
        <v>63</v>
      </c>
      <c r="K33" s="166">
        <f t="shared" si="6"/>
        <v>70</v>
      </c>
    </row>
    <row r="34" spans="1:11" ht="14.25">
      <c r="A34" s="23">
        <v>8</v>
      </c>
      <c r="B34" s="166">
        <f t="shared" ref="B34:K34" si="7">$A34*B$26</f>
        <v>8</v>
      </c>
      <c r="C34" s="166">
        <f t="shared" si="7"/>
        <v>16</v>
      </c>
      <c r="D34" s="166">
        <f t="shared" si="7"/>
        <v>24</v>
      </c>
      <c r="E34" s="166">
        <f t="shared" si="7"/>
        <v>32</v>
      </c>
      <c r="F34" s="166">
        <f t="shared" si="7"/>
        <v>40</v>
      </c>
      <c r="G34" s="166">
        <f t="shared" si="7"/>
        <v>48</v>
      </c>
      <c r="H34" s="166">
        <f t="shared" si="7"/>
        <v>56</v>
      </c>
      <c r="I34" s="166">
        <f t="shared" si="7"/>
        <v>64</v>
      </c>
      <c r="J34" s="166">
        <f t="shared" si="7"/>
        <v>72</v>
      </c>
      <c r="K34" s="166">
        <f t="shared" si="7"/>
        <v>80</v>
      </c>
    </row>
    <row r="35" spans="1:11" ht="14.25">
      <c r="A35" s="23">
        <v>9</v>
      </c>
      <c r="B35" s="166">
        <f t="shared" ref="B35:K35" si="8">$A35*B$26</f>
        <v>9</v>
      </c>
      <c r="C35" s="166">
        <f t="shared" si="8"/>
        <v>18</v>
      </c>
      <c r="D35" s="166">
        <f t="shared" si="8"/>
        <v>27</v>
      </c>
      <c r="E35" s="166">
        <f t="shared" si="8"/>
        <v>36</v>
      </c>
      <c r="F35" s="166">
        <f t="shared" si="8"/>
        <v>45</v>
      </c>
      <c r="G35" s="166">
        <f t="shared" si="8"/>
        <v>54</v>
      </c>
      <c r="H35" s="166">
        <f t="shared" si="8"/>
        <v>63</v>
      </c>
      <c r="I35" s="166">
        <f t="shared" si="8"/>
        <v>72</v>
      </c>
      <c r="J35" s="166">
        <f t="shared" si="8"/>
        <v>81</v>
      </c>
      <c r="K35" s="166">
        <f t="shared" si="8"/>
        <v>90</v>
      </c>
    </row>
    <row r="36" spans="1:11" ht="14.25">
      <c r="A36" s="24">
        <v>10</v>
      </c>
      <c r="B36" s="166">
        <f t="shared" ref="B36:K36" si="9">$A36*B$26</f>
        <v>10</v>
      </c>
      <c r="C36" s="166">
        <f t="shared" si="9"/>
        <v>20</v>
      </c>
      <c r="D36" s="166">
        <f t="shared" si="9"/>
        <v>30</v>
      </c>
      <c r="E36" s="166">
        <f t="shared" si="9"/>
        <v>40</v>
      </c>
      <c r="F36" s="166">
        <f t="shared" si="9"/>
        <v>50</v>
      </c>
      <c r="G36" s="166">
        <f t="shared" si="9"/>
        <v>60</v>
      </c>
      <c r="H36" s="166">
        <f t="shared" si="9"/>
        <v>70</v>
      </c>
      <c r="I36" s="166">
        <f t="shared" si="9"/>
        <v>80</v>
      </c>
      <c r="J36" s="166">
        <f t="shared" si="9"/>
        <v>90</v>
      </c>
      <c r="K36" s="166">
        <f t="shared" si="9"/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2:F18"/>
  <sheetViews>
    <sheetView workbookViewId="0">
      <selection activeCell="G14" sqref="G14"/>
    </sheetView>
  </sheetViews>
  <sheetFormatPr defaultColWidth="14.3984375" defaultRowHeight="15" customHeight="1"/>
  <cols>
    <col min="3" max="3" width="18.1328125" customWidth="1"/>
  </cols>
  <sheetData>
    <row r="2" spans="1:6" ht="14.25">
      <c r="A2" s="168"/>
      <c r="B2" s="169"/>
      <c r="C2" s="169"/>
      <c r="D2" s="169"/>
      <c r="E2" s="169"/>
      <c r="F2" s="170"/>
    </row>
    <row r="3" spans="1:6" ht="15" customHeight="1">
      <c r="A3" s="25"/>
      <c r="B3" s="26" t="s">
        <v>26</v>
      </c>
      <c r="C3" s="26" t="s">
        <v>27</v>
      </c>
      <c r="D3" s="27"/>
      <c r="E3" s="27"/>
      <c r="F3" s="28"/>
    </row>
    <row r="4" spans="1:6" ht="15" customHeight="1">
      <c r="A4" s="25"/>
      <c r="B4" s="29" t="s">
        <v>28</v>
      </c>
      <c r="C4" s="30">
        <v>3</v>
      </c>
      <c r="D4" s="27"/>
      <c r="E4" s="27"/>
      <c r="F4" s="28"/>
    </row>
    <row r="5" spans="1:6" ht="15" customHeight="1">
      <c r="A5" s="25"/>
      <c r="B5" s="29" t="s">
        <v>29</v>
      </c>
      <c r="C5" s="30">
        <v>5</v>
      </c>
      <c r="D5" s="27"/>
      <c r="E5" s="27"/>
      <c r="F5" s="28"/>
    </row>
    <row r="6" spans="1:6" ht="15" customHeight="1">
      <c r="A6" s="25"/>
      <c r="B6" s="29" t="s">
        <v>30</v>
      </c>
      <c r="C6" s="30">
        <v>2</v>
      </c>
      <c r="D6" s="27"/>
      <c r="E6" s="27"/>
      <c r="F6" s="28"/>
    </row>
    <row r="7" spans="1:6" ht="15" customHeight="1">
      <c r="A7" s="25"/>
      <c r="B7" s="29" t="s">
        <v>31</v>
      </c>
      <c r="C7" s="30">
        <v>6</v>
      </c>
      <c r="D7" s="27"/>
      <c r="E7" s="27"/>
      <c r="F7" s="28"/>
    </row>
    <row r="8" spans="1:6" ht="15" customHeight="1">
      <c r="A8" s="25"/>
      <c r="B8" s="29" t="s">
        <v>32</v>
      </c>
      <c r="C8" s="30">
        <v>8</v>
      </c>
      <c r="D8" s="27"/>
      <c r="E8" s="27"/>
      <c r="F8" s="28"/>
    </row>
    <row r="9" spans="1:6" ht="15" customHeight="1">
      <c r="A9" s="25"/>
      <c r="B9" s="29" t="s">
        <v>33</v>
      </c>
      <c r="C9" s="31">
        <f>SUM(C4:C7)</f>
        <v>16</v>
      </c>
      <c r="D9" s="29" t="s">
        <v>34</v>
      </c>
      <c r="E9" s="27"/>
      <c r="F9" s="28"/>
    </row>
    <row r="10" spans="1:6" ht="15" customHeight="1">
      <c r="A10" s="32"/>
      <c r="B10" s="33"/>
      <c r="C10" s="33"/>
      <c r="D10" s="33"/>
      <c r="E10" s="33"/>
      <c r="F10" s="171"/>
    </row>
    <row r="14" spans="1:6" ht="14.25">
      <c r="A14" s="34"/>
      <c r="B14" s="34"/>
      <c r="C14" s="34"/>
      <c r="D14" s="34"/>
      <c r="E14" s="34"/>
      <c r="F14" s="34"/>
    </row>
    <row r="15" spans="1:6" ht="14.25">
      <c r="A15" s="35" t="s">
        <v>35</v>
      </c>
      <c r="B15" s="36">
        <v>2016</v>
      </c>
      <c r="C15" s="36">
        <v>2017</v>
      </c>
      <c r="D15" s="36">
        <v>2018</v>
      </c>
      <c r="E15" s="35" t="s">
        <v>36</v>
      </c>
      <c r="F15" s="34"/>
    </row>
    <row r="16" spans="1:6" ht="14.25">
      <c r="A16" s="35" t="s">
        <v>37</v>
      </c>
      <c r="B16" s="139">
        <v>60001</v>
      </c>
      <c r="C16" s="139">
        <v>74989</v>
      </c>
      <c r="D16" s="139">
        <v>90272</v>
      </c>
      <c r="E16" s="138"/>
      <c r="F16" s="38"/>
    </row>
    <row r="17" spans="1:6" ht="14.25">
      <c r="A17" s="35" t="s">
        <v>38</v>
      </c>
      <c r="B17" s="139">
        <v>43505</v>
      </c>
      <c r="C17" s="139">
        <v>55629</v>
      </c>
      <c r="D17" s="139">
        <v>66556</v>
      </c>
      <c r="E17" s="138"/>
      <c r="F17" s="34"/>
    </row>
    <row r="18" spans="1:6" ht="14.25">
      <c r="A18" s="35" t="s">
        <v>39</v>
      </c>
      <c r="B18" s="139">
        <v>16496</v>
      </c>
      <c r="C18" s="139">
        <v>19360</v>
      </c>
      <c r="D18" s="139">
        <v>23716</v>
      </c>
      <c r="E18" s="138"/>
      <c r="F18" s="3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B3:H31"/>
  <sheetViews>
    <sheetView workbookViewId="0">
      <selection activeCell="G29" sqref="G29"/>
    </sheetView>
  </sheetViews>
  <sheetFormatPr defaultColWidth="14.3984375" defaultRowHeight="15" customHeight="1"/>
  <sheetData>
    <row r="3" spans="2:8">
      <c r="B3" s="39" t="s">
        <v>26</v>
      </c>
      <c r="C3" s="39" t="s">
        <v>27</v>
      </c>
      <c r="D3" s="34"/>
    </row>
    <row r="4" spans="2:8">
      <c r="B4" s="40" t="s">
        <v>28</v>
      </c>
      <c r="C4" s="41">
        <v>3</v>
      </c>
      <c r="D4" s="34"/>
    </row>
    <row r="5" spans="2:8">
      <c r="B5" s="40" t="s">
        <v>29</v>
      </c>
      <c r="C5" s="41">
        <v>5</v>
      </c>
      <c r="D5" s="34"/>
    </row>
    <row r="6" spans="2:8">
      <c r="B6" s="40" t="s">
        <v>30</v>
      </c>
      <c r="C6" s="41">
        <v>2</v>
      </c>
      <c r="D6" s="34"/>
    </row>
    <row r="7" spans="2:8">
      <c r="B7" s="40" t="s">
        <v>31</v>
      </c>
      <c r="C7" s="41">
        <v>6</v>
      </c>
      <c r="D7" s="34"/>
    </row>
    <row r="8" spans="2:8">
      <c r="B8" s="40" t="s">
        <v>32</v>
      </c>
      <c r="C8" s="41">
        <v>8</v>
      </c>
      <c r="D8" s="34"/>
    </row>
    <row r="9" spans="2:8">
      <c r="B9" s="40" t="s">
        <v>40</v>
      </c>
      <c r="C9" s="42">
        <f xml:space="preserve"> MAX(C4:C8)</f>
        <v>8</v>
      </c>
      <c r="D9" s="35" t="s">
        <v>34</v>
      </c>
    </row>
    <row r="15" spans="2:8">
      <c r="B15" s="34"/>
      <c r="C15" s="43" t="s">
        <v>41</v>
      </c>
      <c r="D15" s="34"/>
      <c r="E15" s="34"/>
      <c r="F15" s="34"/>
      <c r="G15" s="34"/>
      <c r="H15" s="34"/>
    </row>
    <row r="16" spans="2:8">
      <c r="B16" s="34"/>
      <c r="C16" s="34" t="s">
        <v>42</v>
      </c>
      <c r="D16" s="34"/>
      <c r="E16" s="34"/>
      <c r="F16" s="34"/>
      <c r="G16" s="34"/>
      <c r="H16" s="34"/>
    </row>
    <row r="17" spans="2:8">
      <c r="B17" s="192"/>
      <c r="C17" s="187"/>
      <c r="D17" s="34"/>
      <c r="E17" s="34"/>
      <c r="F17" s="34"/>
      <c r="G17" s="34"/>
      <c r="H17" s="34"/>
    </row>
    <row r="18" spans="2:8">
      <c r="B18" s="34"/>
      <c r="C18" s="44">
        <v>67</v>
      </c>
      <c r="D18" s="45">
        <v>78</v>
      </c>
      <c r="E18" s="45">
        <v>66</v>
      </c>
      <c r="F18" s="45">
        <v>92</v>
      </c>
      <c r="G18" s="46">
        <v>27</v>
      </c>
      <c r="H18" s="34"/>
    </row>
    <row r="19" spans="2:8">
      <c r="B19" s="34"/>
      <c r="C19" s="47">
        <v>81</v>
      </c>
      <c r="D19" s="37">
        <v>36</v>
      </c>
      <c r="E19" s="37">
        <v>100</v>
      </c>
      <c r="F19" s="37">
        <v>85</v>
      </c>
      <c r="G19" s="48">
        <v>60</v>
      </c>
      <c r="H19" s="34"/>
    </row>
    <row r="20" spans="2:8">
      <c r="B20" s="34"/>
      <c r="C20" s="47">
        <v>99</v>
      </c>
      <c r="D20" s="37">
        <v>78</v>
      </c>
      <c r="E20" s="37">
        <v>91</v>
      </c>
      <c r="F20" s="37">
        <v>41</v>
      </c>
      <c r="G20" s="48">
        <v>83</v>
      </c>
      <c r="H20" s="34"/>
    </row>
    <row r="21" spans="2:8">
      <c r="B21" s="34"/>
      <c r="C21" s="47">
        <v>55</v>
      </c>
      <c r="D21" s="37">
        <v>8</v>
      </c>
      <c r="E21" s="37">
        <v>12</v>
      </c>
      <c r="F21" s="37">
        <v>8</v>
      </c>
      <c r="G21" s="48">
        <v>16</v>
      </c>
      <c r="H21" s="34"/>
    </row>
    <row r="22" spans="2:8">
      <c r="B22" s="34"/>
      <c r="C22" s="47">
        <v>21</v>
      </c>
      <c r="D22" s="37">
        <v>52</v>
      </c>
      <c r="E22" s="37">
        <v>22</v>
      </c>
      <c r="F22" s="37">
        <v>58</v>
      </c>
      <c r="G22" s="48">
        <v>13</v>
      </c>
      <c r="H22" s="34"/>
    </row>
    <row r="23" spans="2:8">
      <c r="B23" s="34"/>
      <c r="C23" s="47">
        <v>84</v>
      </c>
      <c r="D23" s="37">
        <v>32</v>
      </c>
      <c r="E23" s="37">
        <v>8</v>
      </c>
      <c r="F23" s="37">
        <v>30</v>
      </c>
      <c r="G23" s="48">
        <v>12</v>
      </c>
      <c r="H23" s="34"/>
    </row>
    <row r="24" spans="2:8">
      <c r="B24" s="34"/>
      <c r="C24" s="47">
        <v>76</v>
      </c>
      <c r="D24" s="37">
        <v>97</v>
      </c>
      <c r="E24" s="37">
        <v>96</v>
      </c>
      <c r="F24" s="37">
        <v>81</v>
      </c>
      <c r="G24" s="48">
        <v>14</v>
      </c>
      <c r="H24" s="34"/>
    </row>
    <row r="25" spans="2:8">
      <c r="B25" s="34"/>
      <c r="C25" s="47">
        <v>42</v>
      </c>
      <c r="D25" s="37">
        <v>38</v>
      </c>
      <c r="E25" s="37">
        <v>66</v>
      </c>
      <c r="F25" s="37">
        <v>10</v>
      </c>
      <c r="G25" s="48">
        <v>50</v>
      </c>
      <c r="H25" s="34"/>
    </row>
    <row r="26" spans="2:8">
      <c r="B26" s="34"/>
      <c r="C26" s="49">
        <v>28</v>
      </c>
      <c r="D26" s="50">
        <v>14</v>
      </c>
      <c r="E26" s="50">
        <v>87</v>
      </c>
      <c r="F26" s="50">
        <v>80</v>
      </c>
      <c r="G26" s="51">
        <v>24</v>
      </c>
      <c r="H26" s="34"/>
    </row>
    <row r="27" spans="2:8">
      <c r="B27" s="192"/>
      <c r="C27" s="187"/>
      <c r="D27" s="34"/>
      <c r="E27" s="34"/>
      <c r="F27" s="34"/>
      <c r="G27" s="34"/>
      <c r="H27" s="34"/>
    </row>
    <row r="28" spans="2:8">
      <c r="B28" s="34"/>
      <c r="C28" s="34" t="s">
        <v>43</v>
      </c>
      <c r="D28" s="34"/>
      <c r="E28" s="34"/>
      <c r="F28" s="34"/>
      <c r="G28" s="34"/>
      <c r="H28" s="34"/>
    </row>
    <row r="29" spans="2:8">
      <c r="B29" s="34"/>
      <c r="C29" s="34" t="s">
        <v>44</v>
      </c>
      <c r="D29" s="34"/>
      <c r="E29" s="34"/>
      <c r="F29" s="34"/>
      <c r="G29" s="34"/>
      <c r="H29" s="34"/>
    </row>
    <row r="30" spans="2:8">
      <c r="B30" s="192"/>
      <c r="C30" s="187"/>
      <c r="D30" s="34"/>
      <c r="E30" s="34"/>
      <c r="F30" s="34"/>
      <c r="G30" s="34"/>
      <c r="H30" s="34"/>
    </row>
    <row r="31" spans="2:8">
      <c r="B31" s="192"/>
      <c r="C31" s="187"/>
      <c r="D31" s="34"/>
      <c r="E31" s="34" t="s">
        <v>45</v>
      </c>
      <c r="F31" s="34"/>
      <c r="G31" s="34"/>
      <c r="H31" s="38"/>
    </row>
  </sheetData>
  <mergeCells count="4">
    <mergeCell ref="B17:C17"/>
    <mergeCell ref="B27:C27"/>
    <mergeCell ref="B30:C30"/>
    <mergeCell ref="B31:C3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B2:G31"/>
  <sheetViews>
    <sheetView topLeftCell="A12" workbookViewId="0">
      <selection activeCell="C26" sqref="C26"/>
    </sheetView>
  </sheetViews>
  <sheetFormatPr defaultColWidth="14.3984375" defaultRowHeight="15" customHeight="1"/>
  <sheetData>
    <row r="2" spans="2:7">
      <c r="B2" s="39" t="s">
        <v>26</v>
      </c>
      <c r="C2" s="39" t="s">
        <v>27</v>
      </c>
      <c r="D2" s="192"/>
      <c r="E2" s="187"/>
      <c r="F2" s="34"/>
      <c r="G2" s="34"/>
    </row>
    <row r="3" spans="2:7">
      <c r="B3" s="40" t="s">
        <v>28</v>
      </c>
      <c r="C3" s="41">
        <v>3</v>
      </c>
      <c r="D3" s="192"/>
      <c r="E3" s="187"/>
      <c r="F3" s="34"/>
      <c r="G3" s="34"/>
    </row>
    <row r="4" spans="2:7">
      <c r="B4" s="40" t="s">
        <v>29</v>
      </c>
      <c r="C4" s="41">
        <v>5</v>
      </c>
      <c r="D4" s="192"/>
      <c r="E4" s="187"/>
      <c r="F4" s="34"/>
      <c r="G4" s="34"/>
    </row>
    <row r="5" spans="2:7">
      <c r="B5" s="40" t="s">
        <v>30</v>
      </c>
      <c r="C5" s="41">
        <v>2</v>
      </c>
      <c r="D5" s="192"/>
      <c r="E5" s="187"/>
      <c r="F5" s="34"/>
      <c r="G5" s="34"/>
    </row>
    <row r="6" spans="2:7">
      <c r="B6" s="40" t="s">
        <v>31</v>
      </c>
      <c r="C6" s="41">
        <v>6</v>
      </c>
      <c r="D6" s="192"/>
      <c r="E6" s="187"/>
      <c r="F6" s="34"/>
      <c r="G6" s="34"/>
    </row>
    <row r="7" spans="2:7">
      <c r="B7" s="40" t="s">
        <v>32</v>
      </c>
      <c r="C7" s="41">
        <v>8</v>
      </c>
      <c r="D7" s="192"/>
      <c r="E7" s="187"/>
      <c r="F7" s="34"/>
      <c r="G7" s="34"/>
    </row>
    <row r="8" spans="2:7">
      <c r="B8" s="40" t="s">
        <v>46</v>
      </c>
      <c r="C8" s="42">
        <f>MIN(C3:C7)</f>
        <v>2</v>
      </c>
      <c r="D8" s="193" t="s">
        <v>34</v>
      </c>
      <c r="E8" s="187"/>
      <c r="F8" s="34"/>
      <c r="G8" s="34"/>
    </row>
    <row r="13" spans="2:7">
      <c r="B13" s="35" t="s">
        <v>47</v>
      </c>
      <c r="C13" s="34"/>
      <c r="D13" s="34"/>
      <c r="E13" s="34"/>
      <c r="F13" s="34"/>
    </row>
    <row r="14" spans="2:7">
      <c r="B14" s="34"/>
      <c r="C14" s="34"/>
      <c r="D14" s="34"/>
      <c r="E14" s="34"/>
      <c r="F14" s="34"/>
    </row>
    <row r="15" spans="2:7">
      <c r="B15" s="52">
        <v>47</v>
      </c>
      <c r="C15" s="53">
        <v>115</v>
      </c>
      <c r="D15" s="53">
        <v>290</v>
      </c>
      <c r="E15" s="53">
        <v>112</v>
      </c>
      <c r="F15" s="54">
        <v>367</v>
      </c>
    </row>
    <row r="16" spans="2:7">
      <c r="B16" s="55">
        <v>130</v>
      </c>
      <c r="C16" s="56">
        <v>48</v>
      </c>
      <c r="D16" s="56">
        <v>139</v>
      </c>
      <c r="E16" s="56">
        <v>352</v>
      </c>
      <c r="F16" s="57">
        <v>119</v>
      </c>
    </row>
    <row r="17" spans="2:6">
      <c r="B17" s="55">
        <v>324</v>
      </c>
      <c r="C17" s="56">
        <v>219</v>
      </c>
      <c r="D17" s="56">
        <v>351</v>
      </c>
      <c r="E17" s="56">
        <v>123</v>
      </c>
      <c r="F17" s="57">
        <v>372</v>
      </c>
    </row>
    <row r="18" spans="2:6">
      <c r="B18" s="55">
        <v>8</v>
      </c>
      <c r="C18" s="56">
        <v>11</v>
      </c>
      <c r="D18" s="56">
        <v>283</v>
      </c>
      <c r="E18" s="56">
        <v>248</v>
      </c>
      <c r="F18" s="57">
        <v>34</v>
      </c>
    </row>
    <row r="19" spans="2:6">
      <c r="B19" s="55">
        <v>183</v>
      </c>
      <c r="C19" s="56">
        <v>373</v>
      </c>
      <c r="D19" s="56">
        <v>200</v>
      </c>
      <c r="E19" s="56">
        <v>146</v>
      </c>
      <c r="F19" s="57">
        <v>42</v>
      </c>
    </row>
    <row r="20" spans="2:6">
      <c r="B20" s="55">
        <v>355</v>
      </c>
      <c r="C20" s="56">
        <v>317</v>
      </c>
      <c r="D20" s="56">
        <v>287</v>
      </c>
      <c r="E20" s="56">
        <v>94</v>
      </c>
      <c r="F20" s="57">
        <v>154</v>
      </c>
    </row>
    <row r="21" spans="2:6">
      <c r="B21" s="55">
        <v>371</v>
      </c>
      <c r="C21" s="56">
        <v>190</v>
      </c>
      <c r="D21" s="56">
        <v>311</v>
      </c>
      <c r="E21" s="56">
        <v>308</v>
      </c>
      <c r="F21" s="57">
        <v>31</v>
      </c>
    </row>
    <row r="22" spans="2:6">
      <c r="B22" s="55">
        <v>236</v>
      </c>
      <c r="C22" s="56">
        <v>89</v>
      </c>
      <c r="D22" s="56">
        <v>272</v>
      </c>
      <c r="E22" s="56">
        <v>197</v>
      </c>
      <c r="F22" s="57">
        <v>98</v>
      </c>
    </row>
    <row r="23" spans="2:6">
      <c r="B23" s="55">
        <v>49</v>
      </c>
      <c r="C23" s="56">
        <v>97</v>
      </c>
      <c r="D23" s="56">
        <v>259</v>
      </c>
      <c r="E23" s="56">
        <v>226</v>
      </c>
      <c r="F23" s="57">
        <v>160</v>
      </c>
    </row>
    <row r="24" spans="2:6">
      <c r="B24" s="58">
        <v>288</v>
      </c>
      <c r="C24" s="59">
        <v>218</v>
      </c>
      <c r="D24" s="59">
        <v>351</v>
      </c>
      <c r="E24" s="59">
        <v>60</v>
      </c>
      <c r="F24" s="60">
        <v>125</v>
      </c>
    </row>
    <row r="25" spans="2:6">
      <c r="B25" s="34"/>
      <c r="C25" s="61" t="s">
        <v>48</v>
      </c>
      <c r="D25" s="61"/>
      <c r="E25" s="61"/>
      <c r="F25" s="34"/>
    </row>
    <row r="26" spans="2:6">
      <c r="B26" s="35" t="s">
        <v>49</v>
      </c>
      <c r="C26" s="41"/>
      <c r="D26" s="34"/>
      <c r="E26" s="34"/>
      <c r="F26" s="34"/>
    </row>
    <row r="27" spans="2:6">
      <c r="B27" s="34"/>
      <c r="C27" s="34"/>
      <c r="D27" s="34"/>
      <c r="E27" s="34"/>
      <c r="F27" s="34"/>
    </row>
    <row r="28" spans="2:6">
      <c r="B28" s="34"/>
      <c r="C28" s="61"/>
      <c r="D28" s="61"/>
      <c r="E28" s="61"/>
      <c r="F28" s="61"/>
    </row>
    <row r="29" spans="2:6">
      <c r="B29" s="34"/>
      <c r="C29" s="61"/>
      <c r="D29" s="61"/>
      <c r="E29" s="61"/>
      <c r="F29" s="61"/>
    </row>
    <row r="30" spans="2:6">
      <c r="B30" s="34"/>
      <c r="C30" s="34"/>
      <c r="D30" s="34"/>
      <c r="E30" s="34"/>
      <c r="F30" s="34"/>
    </row>
    <row r="31" spans="2:6">
      <c r="B31" s="34"/>
      <c r="C31" s="34"/>
      <c r="D31" s="34"/>
      <c r="E31" s="34"/>
      <c r="F31" s="34"/>
    </row>
  </sheetData>
  <mergeCells count="7">
    <mergeCell ref="D7:E7"/>
    <mergeCell ref="D8:E8"/>
    <mergeCell ref="D2:E2"/>
    <mergeCell ref="D3:E3"/>
    <mergeCell ref="D4:E4"/>
    <mergeCell ref="D5:E5"/>
    <mergeCell ref="D6:E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J32"/>
  <sheetViews>
    <sheetView workbookViewId="0">
      <selection activeCell="F34" sqref="F34"/>
    </sheetView>
  </sheetViews>
  <sheetFormatPr defaultColWidth="14.3984375" defaultRowHeight="15" customHeight="1"/>
  <cols>
    <col min="1" max="1" width="22.73046875" customWidth="1"/>
    <col min="7" max="7" width="21.1328125" customWidth="1"/>
  </cols>
  <sheetData>
    <row r="1" spans="1:10" ht="15" customHeight="1">
      <c r="A1" s="62" t="s">
        <v>50</v>
      </c>
      <c r="B1" s="63"/>
      <c r="C1" s="63"/>
      <c r="G1" s="62" t="s">
        <v>51</v>
      </c>
      <c r="H1" s="63"/>
      <c r="I1" s="63"/>
      <c r="J1" s="64"/>
    </row>
    <row r="2" spans="1:10" ht="14.25">
      <c r="A2" s="34"/>
      <c r="B2" s="34" t="s">
        <v>52</v>
      </c>
      <c r="C2" s="34"/>
      <c r="G2" s="34"/>
      <c r="H2" s="37">
        <v>1</v>
      </c>
      <c r="I2" s="34"/>
    </row>
    <row r="3" spans="1:10" ht="14.25">
      <c r="A3" s="34"/>
      <c r="B3" s="34" t="s">
        <v>53</v>
      </c>
      <c r="C3" s="34"/>
      <c r="G3" s="34"/>
      <c r="H3" s="34" t="s">
        <v>54</v>
      </c>
      <c r="I3" s="34"/>
    </row>
    <row r="4" spans="1:10" ht="14.25">
      <c r="A4" s="34"/>
      <c r="B4" s="34" t="s">
        <v>55</v>
      </c>
      <c r="C4" s="34"/>
      <c r="G4" s="34"/>
      <c r="H4" s="37">
        <v>3</v>
      </c>
      <c r="I4" s="34"/>
    </row>
    <row r="5" spans="1:10" ht="14.25">
      <c r="A5" s="34"/>
      <c r="B5" s="34" t="s">
        <v>56</v>
      </c>
      <c r="C5" s="34"/>
      <c r="G5" s="34"/>
      <c r="H5" s="34" t="s">
        <v>57</v>
      </c>
      <c r="I5" s="34"/>
    </row>
    <row r="6" spans="1:10" ht="14.25">
      <c r="A6" s="34"/>
      <c r="B6" s="34" t="s">
        <v>58</v>
      </c>
      <c r="C6" s="34"/>
      <c r="G6" s="34"/>
      <c r="H6" s="37">
        <v>5</v>
      </c>
      <c r="I6" s="34"/>
    </row>
    <row r="7" spans="1:10" ht="14.25">
      <c r="A7" s="34"/>
      <c r="B7" s="34" t="s">
        <v>59</v>
      </c>
      <c r="C7" s="34"/>
      <c r="G7" s="34"/>
      <c r="H7" s="34" t="s">
        <v>60</v>
      </c>
      <c r="I7" s="34"/>
    </row>
    <row r="8" spans="1:10" ht="15" customHeight="1">
      <c r="A8" s="34" t="s">
        <v>61</v>
      </c>
      <c r="B8" s="42">
        <f>COUNTA(B2:B7)</f>
        <v>6</v>
      </c>
      <c r="C8" s="62" t="s">
        <v>34</v>
      </c>
      <c r="G8" s="34"/>
      <c r="H8" s="34" t="s">
        <v>62</v>
      </c>
      <c r="I8" s="34"/>
    </row>
    <row r="9" spans="1:10" ht="14.25">
      <c r="G9" s="34"/>
      <c r="H9" s="37">
        <v>8</v>
      </c>
      <c r="I9" s="34"/>
    </row>
    <row r="10" spans="1:10" ht="15" customHeight="1">
      <c r="G10" s="34" t="s">
        <v>63</v>
      </c>
      <c r="H10" s="42">
        <f>COUNT(H2:H9)</f>
        <v>4</v>
      </c>
      <c r="I10" s="62" t="s">
        <v>34</v>
      </c>
    </row>
    <row r="17" spans="2:9" ht="14.25">
      <c r="B17" s="34"/>
      <c r="C17" s="43" t="s">
        <v>64</v>
      </c>
      <c r="D17" s="34"/>
      <c r="E17" s="34"/>
      <c r="F17" s="34"/>
      <c r="G17" s="34"/>
      <c r="H17" s="34"/>
      <c r="I17" s="38"/>
    </row>
    <row r="18" spans="2:9" ht="14.25">
      <c r="B18" s="34"/>
      <c r="C18" s="34" t="s">
        <v>65</v>
      </c>
      <c r="D18" s="34"/>
      <c r="E18" s="34"/>
      <c r="F18" s="34"/>
      <c r="G18" s="34"/>
      <c r="H18" s="34"/>
      <c r="I18" s="34"/>
    </row>
    <row r="19" spans="2:9" ht="14.25">
      <c r="B19" s="34"/>
      <c r="C19" s="34"/>
      <c r="D19" s="34"/>
      <c r="E19" s="34"/>
      <c r="F19" s="34"/>
      <c r="G19" s="34"/>
      <c r="H19" s="34"/>
      <c r="I19" s="34"/>
    </row>
    <row r="20" spans="2:9" ht="14.25">
      <c r="B20" s="34"/>
      <c r="C20" s="65">
        <v>999</v>
      </c>
      <c r="D20" s="66" t="s">
        <v>66</v>
      </c>
      <c r="E20" s="66">
        <v>999</v>
      </c>
      <c r="F20" s="66">
        <v>999</v>
      </c>
      <c r="G20" s="66" t="s">
        <v>66</v>
      </c>
      <c r="H20" s="67">
        <v>999</v>
      </c>
      <c r="I20" s="34"/>
    </row>
    <row r="21" spans="2:9" ht="14.25">
      <c r="B21" s="34"/>
      <c r="C21" s="68">
        <v>999</v>
      </c>
      <c r="D21" s="69">
        <v>999</v>
      </c>
      <c r="E21" s="69">
        <v>999</v>
      </c>
      <c r="F21" s="69">
        <v>999</v>
      </c>
      <c r="G21" s="69">
        <v>999</v>
      </c>
      <c r="H21" s="70">
        <v>999</v>
      </c>
      <c r="I21" s="34"/>
    </row>
    <row r="22" spans="2:9" ht="14.25">
      <c r="B22" s="34"/>
      <c r="C22" s="68" t="s">
        <v>66</v>
      </c>
      <c r="D22" s="69">
        <v>999</v>
      </c>
      <c r="E22" s="69">
        <v>999</v>
      </c>
      <c r="F22" s="69">
        <v>999</v>
      </c>
      <c r="G22" s="69">
        <v>999</v>
      </c>
      <c r="H22" s="70" t="s">
        <v>66</v>
      </c>
      <c r="I22" s="34"/>
    </row>
    <row r="23" spans="2:9" ht="14.25">
      <c r="B23" s="34"/>
      <c r="C23" s="68">
        <v>999</v>
      </c>
      <c r="D23" s="69">
        <v>999</v>
      </c>
      <c r="E23" s="69">
        <v>999</v>
      </c>
      <c r="F23" s="69">
        <v>999</v>
      </c>
      <c r="G23" s="69">
        <v>999</v>
      </c>
      <c r="H23" s="70">
        <v>999</v>
      </c>
      <c r="I23" s="34"/>
    </row>
    <row r="24" spans="2:9" ht="14.25">
      <c r="B24" s="34"/>
      <c r="C24" s="68">
        <v>999</v>
      </c>
      <c r="D24" s="69">
        <v>999</v>
      </c>
      <c r="E24" s="69">
        <v>999</v>
      </c>
      <c r="F24" s="69">
        <v>999</v>
      </c>
      <c r="G24" s="69">
        <v>999</v>
      </c>
      <c r="H24" s="70">
        <v>999</v>
      </c>
      <c r="I24" s="34"/>
    </row>
    <row r="25" spans="2:9" ht="14.25">
      <c r="B25" s="34"/>
      <c r="C25" s="68">
        <v>999</v>
      </c>
      <c r="D25" s="69">
        <v>999</v>
      </c>
      <c r="E25" s="69">
        <v>999</v>
      </c>
      <c r="F25" s="69">
        <v>999</v>
      </c>
      <c r="G25" s="69">
        <v>999</v>
      </c>
      <c r="H25" s="70">
        <v>999</v>
      </c>
      <c r="I25" s="34"/>
    </row>
    <row r="26" spans="2:9" ht="14.25">
      <c r="B26" s="34"/>
      <c r="C26" s="68">
        <v>999</v>
      </c>
      <c r="D26" s="69">
        <v>999</v>
      </c>
      <c r="E26" s="69">
        <v>999</v>
      </c>
      <c r="F26" s="69">
        <v>999</v>
      </c>
      <c r="G26" s="69">
        <v>999</v>
      </c>
      <c r="H26" s="70">
        <v>999</v>
      </c>
      <c r="I26" s="34"/>
    </row>
    <row r="27" spans="2:9" ht="14.25">
      <c r="B27" s="34"/>
      <c r="C27" s="68" t="s">
        <v>66</v>
      </c>
      <c r="D27" s="69">
        <v>999</v>
      </c>
      <c r="E27" s="69">
        <v>999</v>
      </c>
      <c r="F27" s="69">
        <v>999</v>
      </c>
      <c r="G27" s="69">
        <v>999</v>
      </c>
      <c r="H27" s="70" t="s">
        <v>66</v>
      </c>
      <c r="I27" s="34"/>
    </row>
    <row r="28" spans="2:9" ht="14.25">
      <c r="B28" s="34"/>
      <c r="C28" s="68">
        <v>999</v>
      </c>
      <c r="D28" s="69">
        <v>999</v>
      </c>
      <c r="E28" s="69">
        <v>999</v>
      </c>
      <c r="F28" s="69">
        <v>999</v>
      </c>
      <c r="G28" s="69">
        <v>999</v>
      </c>
      <c r="H28" s="70">
        <v>999</v>
      </c>
      <c r="I28" s="34"/>
    </row>
    <row r="29" spans="2:9" ht="14.25">
      <c r="B29" s="34"/>
      <c r="C29" s="71">
        <v>999</v>
      </c>
      <c r="D29" s="72" t="s">
        <v>66</v>
      </c>
      <c r="E29" s="72">
        <v>999</v>
      </c>
      <c r="F29" s="72">
        <v>999</v>
      </c>
      <c r="G29" s="72" t="s">
        <v>66</v>
      </c>
      <c r="H29" s="73">
        <v>999</v>
      </c>
      <c r="I29" s="34"/>
    </row>
    <row r="30" spans="2:9" ht="14.25">
      <c r="B30" s="34"/>
      <c r="C30" s="34"/>
      <c r="D30" s="34"/>
      <c r="E30" s="34"/>
      <c r="F30" s="34"/>
      <c r="G30" s="34"/>
      <c r="H30" s="34"/>
      <c r="I30" s="34"/>
    </row>
    <row r="31" spans="2:9" ht="14.25">
      <c r="B31" s="34"/>
      <c r="C31" s="35" t="s">
        <v>67</v>
      </c>
      <c r="D31" s="34"/>
      <c r="E31" s="34"/>
      <c r="F31" s="34"/>
      <c r="G31" s="34"/>
      <c r="H31" s="34"/>
      <c r="I31" s="34"/>
    </row>
    <row r="32" spans="2:9" ht="14.25">
      <c r="B32" s="34"/>
      <c r="C32" s="74"/>
      <c r="D32" s="34" t="s">
        <v>68</v>
      </c>
      <c r="E32" s="34"/>
      <c r="F32" s="34"/>
      <c r="G32" s="75" t="s">
        <v>69</v>
      </c>
      <c r="H32" s="34"/>
      <c r="I32" s="34"/>
    </row>
  </sheetData>
  <hyperlinks>
    <hyperlink ref="G32" r:id="rId1" location="COUNT2 Answer!A1" xr:uid="{00000000-0004-0000-0700-00000000000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C10"/>
  <sheetViews>
    <sheetView workbookViewId="0">
      <selection activeCell="E9" sqref="E9"/>
    </sheetView>
  </sheetViews>
  <sheetFormatPr defaultColWidth="14.3984375" defaultRowHeight="15" customHeight="1"/>
  <sheetData>
    <row r="1" spans="1:3">
      <c r="A1" s="35" t="s">
        <v>70</v>
      </c>
      <c r="B1" s="34"/>
      <c r="C1" s="34"/>
    </row>
    <row r="2" spans="1:3">
      <c r="A2" s="35" t="s">
        <v>26</v>
      </c>
      <c r="B2" s="35" t="s">
        <v>71</v>
      </c>
      <c r="C2" s="34"/>
    </row>
    <row r="3" spans="1:3">
      <c r="A3" s="34" t="s">
        <v>72</v>
      </c>
      <c r="B3" s="37">
        <v>20</v>
      </c>
      <c r="C3" s="34"/>
    </row>
    <row r="4" spans="1:3">
      <c r="A4" s="34" t="s">
        <v>73</v>
      </c>
      <c r="B4" s="37">
        <v>16</v>
      </c>
      <c r="C4" s="34"/>
    </row>
    <row r="5" spans="1:3">
      <c r="A5" s="34" t="s">
        <v>74</v>
      </c>
      <c r="B5" s="37">
        <v>19</v>
      </c>
      <c r="C5" s="34"/>
    </row>
    <row r="6" spans="1:3">
      <c r="A6" s="34" t="s">
        <v>75</v>
      </c>
      <c r="B6" s="37">
        <v>3</v>
      </c>
      <c r="C6" s="34"/>
    </row>
    <row r="7" spans="1:3">
      <c r="A7" s="34" t="s">
        <v>76</v>
      </c>
      <c r="B7" s="37">
        <v>9</v>
      </c>
      <c r="C7" s="34"/>
    </row>
    <row r="8" spans="1:3">
      <c r="A8" s="34" t="s">
        <v>77</v>
      </c>
      <c r="B8" s="37">
        <v>7</v>
      </c>
      <c r="C8" s="34"/>
    </row>
    <row r="9" spans="1:3">
      <c r="A9" s="34" t="s">
        <v>78</v>
      </c>
      <c r="B9" s="37">
        <v>12</v>
      </c>
      <c r="C9" s="34"/>
    </row>
    <row r="10" spans="1:3">
      <c r="A10" s="34" t="s">
        <v>79</v>
      </c>
      <c r="B10" s="76"/>
      <c r="C10" s="35" t="s">
        <v>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C4:J70"/>
  <sheetViews>
    <sheetView topLeftCell="A14" workbookViewId="0">
      <selection activeCell="D31" sqref="D31"/>
    </sheetView>
  </sheetViews>
  <sheetFormatPr defaultColWidth="14.3984375" defaultRowHeight="15" customHeight="1"/>
  <cols>
    <col min="3" max="3" width="18.59765625" customWidth="1"/>
    <col min="6" max="6" width="21" customWidth="1"/>
    <col min="7" max="7" width="32.86328125" customWidth="1"/>
    <col min="10" max="10" width="44" customWidth="1"/>
  </cols>
  <sheetData>
    <row r="4" spans="4:10" ht="14.25">
      <c r="D4" s="195" t="s">
        <v>80</v>
      </c>
      <c r="E4" s="184"/>
      <c r="F4" s="184"/>
      <c r="G4" s="184"/>
      <c r="H4" s="184"/>
      <c r="I4" s="184"/>
      <c r="J4" s="185"/>
    </row>
    <row r="5" spans="4:10" ht="25.5" customHeight="1">
      <c r="D5" s="186"/>
      <c r="E5" s="187"/>
      <c r="F5" s="187"/>
      <c r="G5" s="187"/>
      <c r="H5" s="187"/>
      <c r="I5" s="187"/>
      <c r="J5" s="188"/>
    </row>
    <row r="6" spans="4:10" ht="14.25">
      <c r="D6" s="172"/>
      <c r="E6" s="173"/>
      <c r="F6" s="173"/>
      <c r="G6" s="173"/>
      <c r="H6" s="173"/>
      <c r="I6" s="173"/>
      <c r="J6" s="174"/>
    </row>
    <row r="7" spans="4:10" ht="14.25">
      <c r="D7" s="196" t="s">
        <v>81</v>
      </c>
      <c r="E7" s="187"/>
      <c r="F7" s="187"/>
      <c r="G7" s="187"/>
      <c r="H7" s="187"/>
      <c r="I7" s="187"/>
      <c r="J7" s="188"/>
    </row>
    <row r="8" spans="4:10" ht="1.5" customHeight="1">
      <c r="D8" s="189"/>
      <c r="E8" s="190"/>
      <c r="F8" s="190"/>
      <c r="G8" s="190"/>
      <c r="H8" s="190"/>
      <c r="I8" s="190"/>
      <c r="J8" s="191"/>
    </row>
    <row r="10" spans="4:10" ht="15.75">
      <c r="D10" s="77"/>
      <c r="E10" s="78"/>
      <c r="F10" s="79"/>
      <c r="G10" s="79"/>
      <c r="H10" s="169"/>
      <c r="I10" s="170"/>
    </row>
    <row r="11" spans="4:10" ht="14.25">
      <c r="D11" s="80"/>
      <c r="E11" s="35" t="s">
        <v>26</v>
      </c>
      <c r="F11" s="35" t="s">
        <v>71</v>
      </c>
      <c r="G11" s="35" t="s">
        <v>82</v>
      </c>
      <c r="I11" s="175"/>
    </row>
    <row r="12" spans="4:10" ht="14.25">
      <c r="D12" s="80"/>
      <c r="E12" s="34" t="s">
        <v>83</v>
      </c>
      <c r="F12" s="37">
        <v>12</v>
      </c>
      <c r="G12" s="81" t="str">
        <f>IF(F12&lt;18, "Yes", "No")</f>
        <v>Yes</v>
      </c>
      <c r="I12" s="175"/>
    </row>
    <row r="13" spans="4:10" ht="14.25">
      <c r="D13" s="80"/>
      <c r="E13" s="34" t="s">
        <v>84</v>
      </c>
      <c r="F13" s="37">
        <v>23</v>
      </c>
      <c r="G13" s="81" t="str">
        <f>IF(F13&lt;18, "Yes", "No")</f>
        <v>No</v>
      </c>
      <c r="I13" s="175"/>
    </row>
    <row r="14" spans="4:10" ht="14.25">
      <c r="D14" s="82"/>
      <c r="E14" s="34"/>
      <c r="F14" s="37"/>
      <c r="G14" s="37"/>
      <c r="I14" s="175"/>
    </row>
    <row r="15" spans="4:10" ht="14.25">
      <c r="D15" s="176"/>
      <c r="E15" s="35" t="s">
        <v>85</v>
      </c>
      <c r="F15" s="193" t="s">
        <v>86</v>
      </c>
      <c r="G15" s="187"/>
      <c r="I15" s="175"/>
    </row>
    <row r="16" spans="4:10" ht="14.25">
      <c r="D16" s="176"/>
      <c r="E16" s="34"/>
      <c r="F16" s="37"/>
      <c r="G16" s="34"/>
      <c r="I16" s="175"/>
    </row>
    <row r="17" spans="3:9" ht="14.25">
      <c r="D17" s="177"/>
      <c r="E17" s="83"/>
      <c r="F17" s="50"/>
      <c r="G17" s="83"/>
      <c r="H17" s="178"/>
      <c r="I17" s="171"/>
    </row>
    <row r="18" spans="3:9" ht="14.25">
      <c r="E18" s="34"/>
      <c r="F18" s="37"/>
      <c r="G18" s="34"/>
    </row>
    <row r="19" spans="3:9" ht="14.25">
      <c r="E19" s="34"/>
      <c r="F19" s="84"/>
      <c r="G19" s="35"/>
    </row>
    <row r="22" spans="3:9" ht="14.25">
      <c r="C22" s="197" t="s">
        <v>87</v>
      </c>
      <c r="D22" s="184"/>
      <c r="E22" s="184"/>
      <c r="F22" s="184"/>
      <c r="G22" s="185"/>
      <c r="H22" s="34"/>
    </row>
    <row r="23" spans="3:9" ht="14.25">
      <c r="C23" s="186"/>
      <c r="D23" s="187"/>
      <c r="E23" s="187"/>
      <c r="F23" s="187"/>
      <c r="G23" s="188"/>
      <c r="H23" s="34"/>
    </row>
    <row r="24" spans="3:9" ht="14.25">
      <c r="C24" s="186"/>
      <c r="D24" s="187"/>
      <c r="E24" s="187"/>
      <c r="F24" s="187"/>
      <c r="G24" s="188"/>
      <c r="H24" s="34"/>
    </row>
    <row r="25" spans="3:9" ht="14.25">
      <c r="C25" s="189"/>
      <c r="D25" s="190"/>
      <c r="E25" s="190"/>
      <c r="F25" s="190"/>
      <c r="G25" s="191"/>
      <c r="H25" s="34"/>
    </row>
    <row r="26" spans="3:9" ht="14.25">
      <c r="C26" s="34"/>
      <c r="D26" s="34"/>
      <c r="E26" s="34"/>
      <c r="F26" s="34"/>
      <c r="G26" s="34"/>
      <c r="H26" s="34"/>
    </row>
    <row r="27" spans="3:9" ht="14.25">
      <c r="C27" s="34"/>
      <c r="D27" s="34"/>
      <c r="E27" s="34"/>
      <c r="F27" s="34"/>
      <c r="G27" s="34"/>
      <c r="H27" s="34"/>
    </row>
    <row r="28" spans="3:9" ht="14.25">
      <c r="C28" s="85" t="s">
        <v>88</v>
      </c>
      <c r="D28" s="86"/>
      <c r="E28" s="86"/>
      <c r="F28" s="86"/>
      <c r="G28" s="86"/>
      <c r="H28" s="34"/>
    </row>
    <row r="29" spans="3:9" ht="14.25">
      <c r="C29" s="153" t="s">
        <v>89</v>
      </c>
      <c r="D29" s="46">
        <v>57</v>
      </c>
      <c r="E29" s="198" t="s">
        <v>90</v>
      </c>
      <c r="F29" s="184"/>
      <c r="G29" s="185"/>
      <c r="H29" s="34"/>
    </row>
    <row r="30" spans="3:9" ht="14.25">
      <c r="C30" s="80" t="s">
        <v>91</v>
      </c>
      <c r="D30" s="87" t="s">
        <v>92</v>
      </c>
      <c r="E30" s="186"/>
      <c r="F30" s="187"/>
      <c r="G30" s="188"/>
      <c r="H30" s="34"/>
    </row>
    <row r="31" spans="3:9" ht="14.25">
      <c r="C31" s="88" t="s">
        <v>93</v>
      </c>
      <c r="D31" s="51">
        <v>4.55</v>
      </c>
      <c r="E31" s="189"/>
      <c r="F31" s="190"/>
      <c r="G31" s="191"/>
      <c r="H31" s="34"/>
    </row>
    <row r="32" spans="3:9" ht="14.25">
      <c r="C32" s="34"/>
      <c r="D32" s="34"/>
      <c r="E32" s="34"/>
      <c r="F32" s="34"/>
      <c r="G32" s="34"/>
      <c r="H32" s="34"/>
    </row>
    <row r="33" spans="3:8" ht="14.25">
      <c r="C33" s="34"/>
      <c r="D33" s="34"/>
      <c r="E33" s="194" t="s">
        <v>94</v>
      </c>
      <c r="F33" s="187"/>
      <c r="G33" s="187"/>
      <c r="H33" s="187"/>
    </row>
    <row r="34" spans="3:8" ht="14.25">
      <c r="C34" s="35" t="s">
        <v>95</v>
      </c>
      <c r="D34" s="90"/>
      <c r="E34" s="187"/>
      <c r="F34" s="187"/>
      <c r="G34" s="187"/>
      <c r="H34" s="187"/>
    </row>
    <row r="35" spans="3:8" ht="14.25">
      <c r="C35" s="34"/>
      <c r="D35" s="34"/>
      <c r="E35" s="187"/>
      <c r="F35" s="187"/>
      <c r="G35" s="187"/>
      <c r="H35" s="187"/>
    </row>
    <row r="36" spans="3:8" ht="14.25">
      <c r="C36" s="34"/>
      <c r="D36" s="34"/>
      <c r="E36" s="35"/>
      <c r="F36" s="35"/>
      <c r="G36" s="35"/>
      <c r="H36" s="35"/>
    </row>
    <row r="37" spans="3:8" ht="14.25">
      <c r="C37" s="34"/>
      <c r="D37" s="34"/>
      <c r="E37" s="35"/>
      <c r="F37" s="35"/>
      <c r="G37" s="35"/>
      <c r="H37" s="35"/>
    </row>
    <row r="38" spans="3:8" ht="14.25">
      <c r="C38" s="34" t="s">
        <v>96</v>
      </c>
      <c r="D38" s="34"/>
      <c r="E38" s="34"/>
      <c r="F38" s="34"/>
      <c r="G38" s="34"/>
      <c r="H38" s="34"/>
    </row>
    <row r="39" spans="3:8" ht="14.25">
      <c r="C39" s="34"/>
      <c r="D39" s="34"/>
      <c r="E39" s="34"/>
      <c r="F39" s="34"/>
      <c r="G39" s="34"/>
      <c r="H39" s="34"/>
    </row>
    <row r="70" spans="3:3" ht="14.25">
      <c r="C70" s="165" t="s">
        <v>97</v>
      </c>
    </row>
  </sheetData>
  <mergeCells count="6">
    <mergeCell ref="E33:H35"/>
    <mergeCell ref="D4:J5"/>
    <mergeCell ref="D7:J8"/>
    <mergeCell ref="F15:G15"/>
    <mergeCell ref="C22:G25"/>
    <mergeCell ref="E29:G3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L22"/>
  <sheetViews>
    <sheetView workbookViewId="0">
      <selection activeCell="C10" sqref="C10"/>
    </sheetView>
  </sheetViews>
  <sheetFormatPr defaultColWidth="14.3984375" defaultRowHeight="15" customHeight="1"/>
  <sheetData>
    <row r="1" spans="1:12">
      <c r="A1" s="35" t="s">
        <v>98</v>
      </c>
      <c r="B1" s="34"/>
      <c r="C1" s="34"/>
      <c r="D1" s="34"/>
      <c r="G1" s="35" t="s">
        <v>99</v>
      </c>
      <c r="H1" s="34"/>
      <c r="I1" s="34"/>
      <c r="J1" s="34"/>
      <c r="K1" s="34"/>
      <c r="L1" s="34"/>
    </row>
    <row r="2" spans="1:12">
      <c r="A2" s="35" t="s">
        <v>100</v>
      </c>
      <c r="B2" s="35" t="s">
        <v>101</v>
      </c>
      <c r="C2" s="35" t="s">
        <v>102</v>
      </c>
      <c r="D2" s="34"/>
      <c r="G2" s="35" t="s">
        <v>103</v>
      </c>
      <c r="H2" s="35" t="s">
        <v>104</v>
      </c>
      <c r="I2" s="35" t="s">
        <v>105</v>
      </c>
      <c r="J2" s="34"/>
      <c r="K2" s="34"/>
      <c r="L2" s="34"/>
    </row>
    <row r="3" spans="1:12">
      <c r="A3" s="34" t="s">
        <v>106</v>
      </c>
      <c r="B3" s="34" t="s">
        <v>107</v>
      </c>
      <c r="C3" s="37">
        <v>10</v>
      </c>
      <c r="D3" s="34"/>
      <c r="G3" s="34" t="s">
        <v>108</v>
      </c>
      <c r="H3" s="34" t="s">
        <v>74</v>
      </c>
      <c r="I3" s="37">
        <v>77</v>
      </c>
      <c r="J3" s="34"/>
      <c r="K3" s="34"/>
      <c r="L3" s="34"/>
    </row>
    <row r="4" spans="1:12">
      <c r="A4" s="34" t="s">
        <v>109</v>
      </c>
      <c r="B4" s="34" t="s">
        <v>110</v>
      </c>
      <c r="C4" s="37">
        <v>20</v>
      </c>
      <c r="D4" s="34"/>
      <c r="G4" s="34" t="s">
        <v>111</v>
      </c>
      <c r="H4" s="34" t="s">
        <v>112</v>
      </c>
      <c r="I4" s="37">
        <v>71</v>
      </c>
      <c r="J4" s="34"/>
      <c r="K4" s="34"/>
      <c r="L4" s="34"/>
    </row>
    <row r="5" spans="1:12">
      <c r="A5" s="34" t="s">
        <v>113</v>
      </c>
      <c r="B5" s="34" t="s">
        <v>107</v>
      </c>
      <c r="C5" s="37">
        <v>15</v>
      </c>
      <c r="D5" s="34"/>
      <c r="G5" s="34" t="s">
        <v>114</v>
      </c>
      <c r="H5" s="34" t="s">
        <v>115</v>
      </c>
      <c r="I5" s="37">
        <v>75</v>
      </c>
      <c r="J5" s="34"/>
      <c r="K5" s="34"/>
      <c r="L5" s="34"/>
    </row>
    <row r="6" spans="1:12">
      <c r="A6" s="34" t="s">
        <v>116</v>
      </c>
      <c r="B6" s="34" t="s">
        <v>110</v>
      </c>
      <c r="C6" s="37">
        <v>17</v>
      </c>
      <c r="D6" s="34"/>
      <c r="G6" s="34" t="s">
        <v>108</v>
      </c>
      <c r="H6" s="34" t="s">
        <v>117</v>
      </c>
      <c r="I6" s="37">
        <v>67</v>
      </c>
      <c r="J6" s="34"/>
      <c r="K6" s="34"/>
      <c r="L6" s="34"/>
    </row>
    <row r="7" spans="1:12">
      <c r="A7" s="34" t="s">
        <v>118</v>
      </c>
      <c r="B7" s="34" t="s">
        <v>107</v>
      </c>
      <c r="C7" s="37">
        <v>44</v>
      </c>
      <c r="D7" s="34"/>
      <c r="G7" s="34" t="s">
        <v>111</v>
      </c>
      <c r="H7" s="34" t="s">
        <v>32</v>
      </c>
      <c r="I7" s="37">
        <v>89</v>
      </c>
      <c r="J7" s="34"/>
      <c r="K7" s="34"/>
      <c r="L7" s="34"/>
    </row>
    <row r="8" spans="1:12">
      <c r="A8" s="34" t="s">
        <v>119</v>
      </c>
      <c r="B8" s="34" t="s">
        <v>110</v>
      </c>
      <c r="C8" s="37">
        <v>90</v>
      </c>
      <c r="D8" s="34"/>
      <c r="G8" s="34" t="s">
        <v>120</v>
      </c>
      <c r="H8" s="34" t="s">
        <v>121</v>
      </c>
      <c r="I8" s="37">
        <v>87</v>
      </c>
      <c r="J8" s="34"/>
      <c r="K8" s="34"/>
      <c r="L8" s="34"/>
    </row>
    <row r="9" spans="1:12">
      <c r="A9" s="34"/>
      <c r="B9" s="35" t="s">
        <v>122</v>
      </c>
      <c r="C9" s="76">
        <f>SUMIF(B3:B8, "Yellow", C3:C8)</f>
        <v>127</v>
      </c>
      <c r="D9" s="35" t="s">
        <v>34</v>
      </c>
      <c r="G9" s="34" t="s">
        <v>123</v>
      </c>
      <c r="H9" s="34" t="s">
        <v>124</v>
      </c>
      <c r="I9" s="37">
        <v>77</v>
      </c>
      <c r="J9" s="34"/>
      <c r="K9" s="34"/>
      <c r="L9" s="34"/>
    </row>
    <row r="10" spans="1:12">
      <c r="G10" s="34" t="s">
        <v>108</v>
      </c>
      <c r="H10" s="34" t="s">
        <v>125</v>
      </c>
      <c r="I10" s="37">
        <v>60</v>
      </c>
      <c r="J10" s="34"/>
      <c r="K10" s="34"/>
      <c r="L10" s="34"/>
    </row>
    <row r="11" spans="1:12">
      <c r="G11" s="34" t="s">
        <v>111</v>
      </c>
      <c r="H11" s="34" t="s">
        <v>126</v>
      </c>
      <c r="I11" s="37">
        <v>83</v>
      </c>
      <c r="J11" s="34"/>
      <c r="K11" s="34"/>
      <c r="L11" s="34"/>
    </row>
    <row r="12" spans="1:12">
      <c r="G12" s="34"/>
      <c r="H12" s="35" t="s">
        <v>127</v>
      </c>
      <c r="I12" s="34"/>
      <c r="J12" s="34"/>
      <c r="K12" s="34"/>
      <c r="L12" s="34"/>
    </row>
    <row r="13" spans="1:12">
      <c r="G13" s="34"/>
      <c r="H13" s="35" t="s">
        <v>111</v>
      </c>
      <c r="I13" s="76"/>
      <c r="J13" s="35" t="s">
        <v>128</v>
      </c>
      <c r="K13" s="34"/>
      <c r="L13" s="34"/>
    </row>
    <row r="14" spans="1:12">
      <c r="A14" s="35" t="s">
        <v>129</v>
      </c>
      <c r="B14" s="34"/>
      <c r="C14" s="34"/>
      <c r="G14" s="34"/>
      <c r="H14" s="34"/>
      <c r="I14" s="34"/>
      <c r="J14" s="34"/>
      <c r="K14" s="34"/>
      <c r="L14" s="34"/>
    </row>
    <row r="15" spans="1:12">
      <c r="A15" s="35" t="s">
        <v>100</v>
      </c>
      <c r="B15" s="35" t="s">
        <v>101</v>
      </c>
      <c r="C15" s="34"/>
    </row>
    <row r="16" spans="1:12">
      <c r="A16" s="34" t="s">
        <v>106</v>
      </c>
      <c r="B16" s="34" t="s">
        <v>107</v>
      </c>
      <c r="C16" s="34"/>
    </row>
    <row r="17" spans="1:3">
      <c r="A17" s="34" t="s">
        <v>109</v>
      </c>
      <c r="B17" s="34" t="s">
        <v>110</v>
      </c>
      <c r="C17" s="34"/>
    </row>
    <row r="18" spans="1:3">
      <c r="A18" s="34" t="s">
        <v>113</v>
      </c>
      <c r="B18" s="34" t="s">
        <v>107</v>
      </c>
      <c r="C18" s="34"/>
    </row>
    <row r="19" spans="1:3">
      <c r="A19" s="34" t="s">
        <v>116</v>
      </c>
      <c r="B19" s="34" t="s">
        <v>110</v>
      </c>
      <c r="C19" s="34"/>
    </row>
    <row r="20" spans="1:3">
      <c r="A20" s="34" t="s">
        <v>118</v>
      </c>
      <c r="B20" s="34" t="s">
        <v>107</v>
      </c>
      <c r="C20" s="34"/>
    </row>
    <row r="21" spans="1:3">
      <c r="A21" s="34" t="s">
        <v>119</v>
      </c>
      <c r="B21" s="34" t="s">
        <v>110</v>
      </c>
      <c r="C21" s="34"/>
    </row>
    <row r="22" spans="1:3">
      <c r="A22" s="34" t="s">
        <v>130</v>
      </c>
      <c r="B22" s="76"/>
      <c r="C22" s="35" t="s">
        <v>34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C3:M36"/>
  <sheetViews>
    <sheetView workbookViewId="0">
      <selection activeCell="G29" sqref="G29"/>
    </sheetView>
  </sheetViews>
  <sheetFormatPr defaultColWidth="14.3984375" defaultRowHeight="15" customHeight="1"/>
  <sheetData>
    <row r="3" spans="3:13" ht="15" customHeight="1">
      <c r="C3" s="91"/>
      <c r="D3" s="64"/>
      <c r="E3" s="64"/>
      <c r="F3" s="64"/>
      <c r="G3" s="64"/>
      <c r="H3" s="64"/>
      <c r="I3" s="64"/>
      <c r="J3" s="64"/>
      <c r="K3" s="64"/>
      <c r="L3" s="64"/>
      <c r="M3" s="64"/>
    </row>
    <row r="4" spans="3:13" ht="15" customHeight="1">
      <c r="C4" s="92" t="s">
        <v>131</v>
      </c>
      <c r="D4" s="64"/>
      <c r="E4" s="64"/>
      <c r="F4" s="64"/>
      <c r="G4" s="64"/>
      <c r="H4" s="64"/>
      <c r="I4" s="64"/>
      <c r="J4" s="64"/>
      <c r="K4" s="64"/>
      <c r="L4" s="64"/>
      <c r="M4" s="64"/>
    </row>
    <row r="6" spans="3:13" ht="14.25">
      <c r="C6" s="35" t="s">
        <v>132</v>
      </c>
      <c r="D6" s="34"/>
      <c r="E6" s="34"/>
      <c r="F6" s="34"/>
      <c r="G6" s="34"/>
      <c r="H6" s="34"/>
    </row>
    <row r="7" spans="3:13" ht="14.25">
      <c r="C7" s="35" t="s">
        <v>133</v>
      </c>
      <c r="D7" s="34"/>
      <c r="E7" s="34"/>
      <c r="F7" s="34"/>
      <c r="G7" s="34"/>
      <c r="H7" s="34"/>
    </row>
    <row r="8" spans="3:13" ht="14.25">
      <c r="C8" s="39" t="s">
        <v>134</v>
      </c>
      <c r="D8" s="39" t="s">
        <v>135</v>
      </c>
      <c r="E8" s="39" t="s">
        <v>103</v>
      </c>
      <c r="F8" s="39" t="s">
        <v>37</v>
      </c>
      <c r="G8" s="34"/>
      <c r="H8" s="34"/>
    </row>
    <row r="9" spans="3:13" ht="14.25">
      <c r="C9" s="93">
        <v>1</v>
      </c>
      <c r="D9" s="40" t="s">
        <v>136</v>
      </c>
      <c r="E9" s="40" t="s">
        <v>137</v>
      </c>
      <c r="F9" s="94">
        <v>492</v>
      </c>
      <c r="G9" s="34"/>
      <c r="H9" s="34"/>
    </row>
    <row r="10" spans="3:13" ht="14.25">
      <c r="C10" s="93">
        <v>2</v>
      </c>
      <c r="D10" s="40" t="s">
        <v>138</v>
      </c>
      <c r="E10" s="40" t="s">
        <v>139</v>
      </c>
      <c r="F10" s="94">
        <v>124</v>
      </c>
      <c r="G10" s="34"/>
      <c r="H10" s="34"/>
    </row>
    <row r="11" spans="3:13" ht="14.25">
      <c r="C11" s="93">
        <v>3</v>
      </c>
      <c r="D11" s="40" t="s">
        <v>136</v>
      </c>
      <c r="E11" s="40" t="s">
        <v>140</v>
      </c>
      <c r="F11" s="94">
        <v>555</v>
      </c>
      <c r="G11" s="34"/>
      <c r="H11" s="34"/>
    </row>
    <row r="12" spans="3:13" ht="14.25">
      <c r="C12" s="93">
        <v>4</v>
      </c>
      <c r="D12" s="40" t="s">
        <v>136</v>
      </c>
      <c r="E12" s="40" t="s">
        <v>137</v>
      </c>
      <c r="F12" s="94">
        <v>100</v>
      </c>
      <c r="G12" s="34"/>
      <c r="H12" s="34"/>
    </row>
    <row r="13" spans="3:13" ht="14.25">
      <c r="C13" s="93">
        <v>5</v>
      </c>
      <c r="D13" s="40" t="s">
        <v>141</v>
      </c>
      <c r="E13" s="40" t="s">
        <v>137</v>
      </c>
      <c r="F13" s="94">
        <v>8</v>
      </c>
      <c r="G13" s="34"/>
      <c r="H13" s="34"/>
    </row>
    <row r="14" spans="3:13" ht="14.25">
      <c r="C14" s="93">
        <v>6</v>
      </c>
      <c r="D14" s="40" t="s">
        <v>141</v>
      </c>
      <c r="E14" s="40" t="s">
        <v>142</v>
      </c>
      <c r="F14" s="94">
        <v>201</v>
      </c>
      <c r="G14" s="34"/>
      <c r="H14" s="34"/>
    </row>
    <row r="15" spans="3:13" ht="14.25">
      <c r="C15" s="93">
        <v>7</v>
      </c>
      <c r="D15" s="40" t="s">
        <v>136</v>
      </c>
      <c r="E15" s="40" t="s">
        <v>137</v>
      </c>
      <c r="F15" s="94">
        <v>20</v>
      </c>
      <c r="G15" s="34"/>
      <c r="H15" s="34"/>
    </row>
    <row r="16" spans="3:13" ht="14.25">
      <c r="C16" s="93">
        <v>8</v>
      </c>
      <c r="D16" s="40" t="s">
        <v>138</v>
      </c>
      <c r="E16" s="40" t="s">
        <v>139</v>
      </c>
      <c r="F16" s="94">
        <v>43</v>
      </c>
      <c r="G16" s="34"/>
      <c r="H16" s="34"/>
    </row>
    <row r="17" spans="3:8" ht="14.25">
      <c r="C17" s="93">
        <v>9</v>
      </c>
      <c r="D17" s="40" t="s">
        <v>136</v>
      </c>
      <c r="E17" s="40" t="s">
        <v>139</v>
      </c>
      <c r="F17" s="94">
        <v>108</v>
      </c>
      <c r="G17" s="34"/>
      <c r="H17" s="34"/>
    </row>
    <row r="18" spans="3:8" ht="14.25">
      <c r="C18" s="93">
        <v>10</v>
      </c>
      <c r="D18" s="40" t="s">
        <v>141</v>
      </c>
      <c r="E18" s="40" t="s">
        <v>140</v>
      </c>
      <c r="F18" s="94">
        <v>172</v>
      </c>
      <c r="G18" s="34"/>
      <c r="H18" s="34"/>
    </row>
    <row r="19" spans="3:8" ht="14.25">
      <c r="C19" s="34"/>
      <c r="D19" s="34"/>
      <c r="E19" s="34"/>
      <c r="F19" s="34"/>
      <c r="G19" s="34"/>
      <c r="H19" s="34"/>
    </row>
    <row r="20" spans="3:8" ht="14.25">
      <c r="C20" s="34"/>
      <c r="D20" s="34"/>
      <c r="E20" s="34"/>
      <c r="F20" s="34"/>
      <c r="G20" s="34"/>
      <c r="H20" s="34"/>
    </row>
    <row r="21" spans="3:8" ht="14.25">
      <c r="C21" s="34"/>
      <c r="D21" s="34" t="s">
        <v>95</v>
      </c>
      <c r="E21" s="76"/>
      <c r="F21" s="35" t="s">
        <v>128</v>
      </c>
      <c r="G21" s="34"/>
      <c r="H21" s="34"/>
    </row>
    <row r="25" spans="3:8" ht="17.25">
      <c r="C25" s="95" t="s">
        <v>143</v>
      </c>
    </row>
    <row r="27" spans="3:8" ht="14.25">
      <c r="C27" s="35" t="s">
        <v>144</v>
      </c>
      <c r="D27" s="34"/>
      <c r="E27" s="34"/>
      <c r="F27" s="34"/>
      <c r="G27" s="34"/>
      <c r="H27" s="34"/>
    </row>
    <row r="28" spans="3:8" ht="14.25">
      <c r="C28" s="39" t="s">
        <v>26</v>
      </c>
      <c r="D28" s="39" t="s">
        <v>145</v>
      </c>
      <c r="E28" s="39" t="s">
        <v>71</v>
      </c>
      <c r="F28" s="34"/>
      <c r="G28" s="34"/>
      <c r="H28" s="34"/>
    </row>
    <row r="29" spans="3:8" ht="14.25">
      <c r="C29" s="40" t="s">
        <v>146</v>
      </c>
      <c r="D29" s="40" t="s">
        <v>147</v>
      </c>
      <c r="E29" s="94">
        <v>12</v>
      </c>
      <c r="F29" s="34"/>
      <c r="G29" s="34"/>
      <c r="H29" s="34"/>
    </row>
    <row r="30" spans="3:8" ht="14.25">
      <c r="C30" s="40" t="s">
        <v>72</v>
      </c>
      <c r="D30" s="40" t="s">
        <v>147</v>
      </c>
      <c r="E30" s="94">
        <v>14</v>
      </c>
      <c r="F30" s="34"/>
      <c r="G30" s="34"/>
      <c r="H30" s="34"/>
    </row>
    <row r="31" spans="3:8" ht="14.25">
      <c r="C31" s="40" t="s">
        <v>148</v>
      </c>
      <c r="D31" s="40" t="s">
        <v>149</v>
      </c>
      <c r="E31" s="94">
        <v>24</v>
      </c>
      <c r="F31" s="34"/>
      <c r="G31" s="34"/>
      <c r="H31" s="34"/>
    </row>
    <row r="32" spans="3:8" ht="14.25">
      <c r="C32" s="40" t="s">
        <v>150</v>
      </c>
      <c r="D32" s="40" t="s">
        <v>149</v>
      </c>
      <c r="E32" s="94">
        <v>32</v>
      </c>
      <c r="F32" s="34"/>
      <c r="G32" s="34"/>
      <c r="H32" s="34"/>
    </row>
    <row r="33" spans="3:8" ht="14.25">
      <c r="C33" s="40" t="s">
        <v>151</v>
      </c>
      <c r="D33" s="40" t="s">
        <v>147</v>
      </c>
      <c r="E33" s="94">
        <v>12</v>
      </c>
      <c r="F33" s="34"/>
      <c r="G33" s="34"/>
      <c r="H33" s="34"/>
    </row>
    <row r="34" spans="3:8" ht="14.25">
      <c r="C34" s="40" t="s">
        <v>152</v>
      </c>
      <c r="D34" s="40" t="s">
        <v>147</v>
      </c>
      <c r="E34" s="94">
        <v>17</v>
      </c>
      <c r="F34" s="34"/>
      <c r="G34" s="34"/>
      <c r="H34" s="34"/>
    </row>
    <row r="35" spans="3:8" ht="14.25">
      <c r="C35" s="34"/>
      <c r="D35" s="34"/>
      <c r="E35" s="34"/>
      <c r="F35" s="34"/>
      <c r="G35" s="34"/>
      <c r="H35" s="34"/>
    </row>
    <row r="36" spans="3:8" ht="14.25">
      <c r="C36" s="34"/>
      <c r="D36" s="34" t="s">
        <v>95</v>
      </c>
      <c r="E36" s="76"/>
      <c r="F36" s="35" t="s">
        <v>153</v>
      </c>
      <c r="G36" s="34"/>
      <c r="H36" s="34"/>
    </row>
  </sheetData>
  <hyperlinks>
    <hyperlink ref="C4" r:id="rId1" xr:uid="{00000000-0004-0000-0B00-000000000000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E10"/>
  <sheetViews>
    <sheetView workbookViewId="0">
      <selection activeCell="D13" sqref="D13"/>
    </sheetView>
  </sheetViews>
  <sheetFormatPr defaultColWidth="14.3984375" defaultRowHeight="15" customHeight="1"/>
  <sheetData>
    <row r="1" spans="1:5" ht="15" customHeight="1">
      <c r="A1" s="62" t="s">
        <v>154</v>
      </c>
      <c r="B1" s="35"/>
      <c r="C1" s="34"/>
      <c r="D1" s="34"/>
      <c r="E1" s="34"/>
    </row>
    <row r="2" spans="1:5" ht="14.25">
      <c r="A2" s="35"/>
      <c r="B2" s="35"/>
      <c r="C2" s="35"/>
      <c r="D2" s="35"/>
      <c r="E2" s="34"/>
    </row>
    <row r="3" spans="1:5" ht="14.25">
      <c r="A3" s="89" t="s">
        <v>155</v>
      </c>
      <c r="B3" s="89" t="s">
        <v>156</v>
      </c>
      <c r="C3" s="35"/>
      <c r="D3" s="35"/>
      <c r="E3" s="34"/>
    </row>
    <row r="4" spans="1:5" ht="15" customHeight="1">
      <c r="A4" s="96">
        <v>40</v>
      </c>
      <c r="B4" s="96">
        <v>25</v>
      </c>
      <c r="C4" s="97" t="str">
        <f>IF(AND(A4&gt;30, B4&gt;30), "Good", "Bad")</f>
        <v>Bad</v>
      </c>
      <c r="D4" s="98" t="s">
        <v>128</v>
      </c>
      <c r="E4" s="34"/>
    </row>
    <row r="5" spans="1:5" ht="14.25">
      <c r="A5" s="34"/>
      <c r="B5" s="34"/>
      <c r="C5" s="86"/>
      <c r="D5" s="34"/>
      <c r="E5" s="34"/>
    </row>
    <row r="6" spans="1:5" ht="15" customHeight="1">
      <c r="A6" s="62" t="s">
        <v>157</v>
      </c>
      <c r="B6" s="34"/>
      <c r="C6" s="86"/>
      <c r="D6" s="34"/>
      <c r="E6" s="34"/>
    </row>
    <row r="7" spans="1:5" ht="14.25">
      <c r="A7" s="34"/>
      <c r="B7" s="34"/>
      <c r="C7" s="86"/>
      <c r="D7" s="34"/>
      <c r="E7" s="34"/>
    </row>
    <row r="8" spans="1:5" ht="14.25">
      <c r="A8" s="89" t="s">
        <v>155</v>
      </c>
      <c r="B8" s="89" t="s">
        <v>156</v>
      </c>
      <c r="C8" s="86"/>
      <c r="D8" s="34"/>
      <c r="E8" s="34"/>
    </row>
    <row r="9" spans="1:5" ht="15" customHeight="1">
      <c r="A9" s="96">
        <v>40</v>
      </c>
      <c r="B9" s="96">
        <v>25</v>
      </c>
      <c r="C9" s="97" t="str">
        <f>IF(OR(A9&gt;30, B9&gt;30), "Good", "Bad")</f>
        <v>Good</v>
      </c>
      <c r="D9" s="98" t="s">
        <v>128</v>
      </c>
      <c r="E9" s="34"/>
    </row>
    <row r="10" spans="1:5" ht="14.25">
      <c r="A10" s="34"/>
      <c r="B10" s="34"/>
      <c r="C10" s="34"/>
      <c r="D10" s="34"/>
      <c r="E10" s="34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3:E19"/>
  <sheetViews>
    <sheetView topLeftCell="A5" workbookViewId="0">
      <selection activeCell="E16" sqref="E16"/>
    </sheetView>
  </sheetViews>
  <sheetFormatPr defaultColWidth="14.3984375" defaultRowHeight="15" customHeight="1"/>
  <sheetData>
    <row r="3" spans="1:5">
      <c r="A3" s="35" t="s">
        <v>158</v>
      </c>
      <c r="B3" s="34"/>
      <c r="C3" s="34"/>
      <c r="D3" s="34"/>
      <c r="E3" s="34"/>
    </row>
    <row r="4" spans="1:5">
      <c r="A4" s="35"/>
      <c r="B4" s="34"/>
      <c r="C4" s="34"/>
      <c r="D4" s="34"/>
      <c r="E4" s="34"/>
    </row>
    <row r="5" spans="1:5">
      <c r="A5" s="39" t="s">
        <v>159</v>
      </c>
      <c r="B5" s="99" t="s">
        <v>160</v>
      </c>
      <c r="C5" s="34"/>
      <c r="D5" s="34"/>
      <c r="E5" s="34"/>
    </row>
    <row r="6" spans="1:5">
      <c r="A6" s="40" t="s">
        <v>161</v>
      </c>
      <c r="B6" s="100" t="b">
        <f>ISBLANK(C6)</f>
        <v>0</v>
      </c>
      <c r="C6" s="35" t="s">
        <v>128</v>
      </c>
      <c r="D6" s="34"/>
      <c r="E6" s="34"/>
    </row>
    <row r="7" spans="1:5">
      <c r="A7" s="40"/>
      <c r="B7" s="100" t="b">
        <f>ISBLANK(A7)</f>
        <v>1</v>
      </c>
      <c r="C7" s="35" t="s">
        <v>128</v>
      </c>
      <c r="D7" s="34"/>
      <c r="E7" s="34"/>
    </row>
    <row r="8" spans="1:5">
      <c r="A8" s="34"/>
      <c r="B8" s="34"/>
      <c r="C8" s="34"/>
      <c r="D8" s="34"/>
      <c r="E8" s="34"/>
    </row>
    <row r="9" spans="1:5">
      <c r="A9" s="34"/>
      <c r="B9" s="34"/>
      <c r="C9" s="34"/>
      <c r="D9" s="34"/>
      <c r="E9" s="34"/>
    </row>
    <row r="10" spans="1:5">
      <c r="A10" s="34"/>
      <c r="B10" s="34"/>
      <c r="C10" s="34"/>
      <c r="D10" s="34"/>
      <c r="E10" s="34"/>
    </row>
    <row r="11" spans="1:5">
      <c r="A11" s="34"/>
      <c r="B11" s="34"/>
      <c r="C11" s="34"/>
      <c r="D11" s="34"/>
      <c r="E11" s="34"/>
    </row>
    <row r="12" spans="1:5">
      <c r="A12" s="34"/>
      <c r="B12" s="34"/>
      <c r="C12" s="34"/>
      <c r="D12" s="34"/>
      <c r="E12" s="34"/>
    </row>
    <row r="13" spans="1:5">
      <c r="A13" s="35" t="s">
        <v>162</v>
      </c>
      <c r="B13" s="34"/>
      <c r="C13" s="34"/>
      <c r="D13" s="34"/>
      <c r="E13" s="34"/>
    </row>
    <row r="14" spans="1:5">
      <c r="A14" s="35"/>
      <c r="B14" s="34"/>
      <c r="C14" s="34"/>
      <c r="D14" s="34"/>
      <c r="E14" s="34"/>
    </row>
    <row r="15" spans="1:5">
      <c r="A15" s="39" t="s">
        <v>159</v>
      </c>
      <c r="B15" s="99" t="s">
        <v>160</v>
      </c>
      <c r="C15" s="34"/>
      <c r="D15" s="34"/>
      <c r="E15" s="34"/>
    </row>
    <row r="16" spans="1:5">
      <c r="A16" s="40"/>
      <c r="B16" s="100" t="str">
        <f>IF(ISBLANK(A16), "No data", "Cell is ok")</f>
        <v>No data</v>
      </c>
      <c r="C16" s="35" t="s">
        <v>128</v>
      </c>
      <c r="D16" s="34"/>
      <c r="E16" s="34"/>
    </row>
    <row r="17" spans="1:5">
      <c r="A17" s="40" t="s">
        <v>163</v>
      </c>
      <c r="B17" s="100" t="str">
        <f>IF(ISBLANK(A17), "No data", "Cell is ok")</f>
        <v>Cell is ok</v>
      </c>
      <c r="C17" s="35" t="s">
        <v>128</v>
      </c>
      <c r="D17" s="34"/>
      <c r="E17" s="34"/>
    </row>
    <row r="18" spans="1:5">
      <c r="A18" s="34"/>
      <c r="B18" s="34"/>
      <c r="C18" s="34"/>
      <c r="D18" s="34"/>
      <c r="E18" s="34"/>
    </row>
    <row r="19" spans="1:5">
      <c r="A19" s="34"/>
      <c r="B19" s="34"/>
      <c r="C19" s="34"/>
      <c r="D19" s="34"/>
      <c r="E19" s="34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L18"/>
  <sheetViews>
    <sheetView workbookViewId="0">
      <selection activeCell="I5" sqref="I5"/>
    </sheetView>
  </sheetViews>
  <sheetFormatPr defaultColWidth="14.3984375" defaultRowHeight="15" customHeight="1"/>
  <sheetData>
    <row r="1" spans="1:12">
      <c r="A1" s="77" t="s">
        <v>164</v>
      </c>
      <c r="B1" s="101" t="s">
        <v>26</v>
      </c>
      <c r="C1" s="200" t="s">
        <v>71</v>
      </c>
      <c r="D1" s="184"/>
      <c r="E1" s="185"/>
      <c r="G1" s="168"/>
      <c r="H1" s="102" t="s">
        <v>165</v>
      </c>
      <c r="I1" s="102"/>
      <c r="J1" s="102"/>
      <c r="K1" s="102"/>
      <c r="L1" s="103"/>
    </row>
    <row r="2" spans="1:12">
      <c r="A2" s="47">
        <v>15335</v>
      </c>
      <c r="B2" s="34" t="s">
        <v>30</v>
      </c>
      <c r="C2" s="199">
        <v>40</v>
      </c>
      <c r="D2" s="187"/>
      <c r="E2" s="188"/>
      <c r="G2" s="176"/>
      <c r="H2" s="34"/>
      <c r="I2" s="34"/>
      <c r="J2" s="34"/>
      <c r="K2" s="34"/>
      <c r="L2" s="87"/>
    </row>
    <row r="3" spans="1:12">
      <c r="A3" s="47">
        <v>57564</v>
      </c>
      <c r="B3" s="34" t="s">
        <v>72</v>
      </c>
      <c r="C3" s="199">
        <v>50</v>
      </c>
      <c r="D3" s="187"/>
      <c r="E3" s="188"/>
      <c r="G3" s="176"/>
      <c r="H3" s="35" t="s">
        <v>26</v>
      </c>
      <c r="I3" s="35" t="s">
        <v>166</v>
      </c>
      <c r="J3" s="34"/>
      <c r="K3" s="34"/>
      <c r="L3" s="87"/>
    </row>
    <row r="4" spans="1:12">
      <c r="A4" s="47">
        <v>73546</v>
      </c>
      <c r="B4" s="34" t="s">
        <v>28</v>
      </c>
      <c r="C4" s="199">
        <v>61</v>
      </c>
      <c r="D4" s="187"/>
      <c r="E4" s="188"/>
      <c r="G4" s="176"/>
      <c r="H4" s="34" t="s">
        <v>167</v>
      </c>
      <c r="I4" s="76" t="str">
        <f>VLOOKUP(H4, H10:J17, 3, 0)</f>
        <v>Netflix</v>
      </c>
      <c r="J4" s="34"/>
      <c r="K4" s="34"/>
      <c r="L4" s="87"/>
    </row>
    <row r="5" spans="1:12">
      <c r="A5" s="47">
        <v>66475</v>
      </c>
      <c r="B5" s="34" t="s">
        <v>168</v>
      </c>
      <c r="C5" s="199">
        <v>23</v>
      </c>
      <c r="D5" s="187"/>
      <c r="E5" s="188"/>
      <c r="G5" s="176"/>
      <c r="H5" s="34" t="s">
        <v>169</v>
      </c>
      <c r="I5" s="76"/>
      <c r="J5" s="34"/>
      <c r="K5" s="34"/>
      <c r="L5" s="87"/>
    </row>
    <row r="6" spans="1:12">
      <c r="A6" s="47">
        <v>54746</v>
      </c>
      <c r="B6" s="34" t="s">
        <v>29</v>
      </c>
      <c r="C6" s="199">
        <v>30</v>
      </c>
      <c r="D6" s="187"/>
      <c r="E6" s="188"/>
      <c r="G6" s="176"/>
      <c r="H6" s="34"/>
      <c r="I6" s="34"/>
      <c r="J6" s="34"/>
      <c r="K6" s="34"/>
      <c r="L6" s="87"/>
    </row>
    <row r="7" spans="1:12">
      <c r="A7" s="80"/>
      <c r="B7" s="34"/>
      <c r="C7" s="192"/>
      <c r="D7" s="187"/>
      <c r="E7" s="188"/>
      <c r="G7" s="176"/>
      <c r="H7" s="34" t="s">
        <v>170</v>
      </c>
      <c r="I7" s="34"/>
      <c r="J7" s="34"/>
      <c r="K7" s="34"/>
      <c r="L7" s="87"/>
    </row>
    <row r="8" spans="1:12">
      <c r="A8" s="80"/>
      <c r="B8" s="34"/>
      <c r="C8" s="192"/>
      <c r="D8" s="187"/>
      <c r="E8" s="188"/>
      <c r="G8" s="176"/>
      <c r="H8" s="34"/>
      <c r="I8" s="34"/>
      <c r="J8" s="34"/>
      <c r="K8" s="34"/>
      <c r="L8" s="87"/>
    </row>
    <row r="9" spans="1:12">
      <c r="A9" s="82" t="s">
        <v>171</v>
      </c>
      <c r="B9" s="34"/>
      <c r="C9" s="192"/>
      <c r="D9" s="187"/>
      <c r="E9" s="188"/>
      <c r="G9" s="176"/>
      <c r="H9" s="101" t="s">
        <v>26</v>
      </c>
      <c r="I9" s="101" t="s">
        <v>71</v>
      </c>
      <c r="J9" s="101" t="s">
        <v>172</v>
      </c>
      <c r="K9" s="34"/>
      <c r="L9" s="87"/>
    </row>
    <row r="10" spans="1:12">
      <c r="A10" s="80"/>
      <c r="B10" s="34"/>
      <c r="C10" s="192"/>
      <c r="D10" s="187"/>
      <c r="E10" s="188"/>
      <c r="G10" s="176"/>
      <c r="H10" s="104" t="s">
        <v>173</v>
      </c>
      <c r="I10" s="105">
        <v>35</v>
      </c>
      <c r="J10" s="104" t="s">
        <v>174</v>
      </c>
      <c r="K10" s="34"/>
      <c r="L10" s="87"/>
    </row>
    <row r="11" spans="1:12">
      <c r="A11" s="82" t="s">
        <v>164</v>
      </c>
      <c r="B11" s="37">
        <v>15335</v>
      </c>
      <c r="C11" s="192"/>
      <c r="D11" s="187"/>
      <c r="E11" s="188"/>
      <c r="G11" s="176"/>
      <c r="H11" s="34" t="s">
        <v>175</v>
      </c>
      <c r="I11" s="37">
        <v>25</v>
      </c>
      <c r="J11" s="34" t="s">
        <v>176</v>
      </c>
      <c r="K11" s="34"/>
      <c r="L11" s="87"/>
    </row>
    <row r="12" spans="1:12">
      <c r="A12" s="82" t="s">
        <v>71</v>
      </c>
      <c r="B12" s="76">
        <f>VLOOKUP(B11, A2:E6, 3, FALSE)</f>
        <v>40</v>
      </c>
      <c r="C12" s="34"/>
      <c r="D12" s="193" t="s">
        <v>177</v>
      </c>
      <c r="E12" s="188"/>
      <c r="G12" s="176"/>
      <c r="H12" s="106" t="s">
        <v>30</v>
      </c>
      <c r="I12" s="107">
        <v>48</v>
      </c>
      <c r="J12" s="106" t="s">
        <v>178</v>
      </c>
      <c r="K12" s="34"/>
      <c r="L12" s="87"/>
    </row>
    <row r="13" spans="1:12">
      <c r="A13" s="176"/>
      <c r="E13" s="175"/>
      <c r="G13" s="176"/>
      <c r="H13" s="34" t="s">
        <v>179</v>
      </c>
      <c r="I13" s="37">
        <v>37</v>
      </c>
      <c r="J13" s="34" t="s">
        <v>180</v>
      </c>
      <c r="K13" s="34"/>
      <c r="L13" s="87"/>
    </row>
    <row r="14" spans="1:12">
      <c r="A14" s="177"/>
      <c r="B14" s="178"/>
      <c r="C14" s="178"/>
      <c r="D14" s="178"/>
      <c r="E14" s="171"/>
      <c r="G14" s="176"/>
      <c r="H14" s="106" t="s">
        <v>167</v>
      </c>
      <c r="I14" s="107">
        <v>52</v>
      </c>
      <c r="J14" s="106" t="s">
        <v>181</v>
      </c>
      <c r="K14" s="34"/>
      <c r="L14" s="87"/>
    </row>
    <row r="15" spans="1:12">
      <c r="G15" s="176"/>
      <c r="H15" s="34" t="s">
        <v>169</v>
      </c>
      <c r="I15" s="37">
        <v>32</v>
      </c>
      <c r="J15" s="34" t="s">
        <v>182</v>
      </c>
      <c r="K15" s="34"/>
      <c r="L15" s="87"/>
    </row>
    <row r="16" spans="1:12">
      <c r="G16" s="176"/>
      <c r="H16" s="106" t="s">
        <v>183</v>
      </c>
      <c r="I16" s="107">
        <v>33</v>
      </c>
      <c r="J16" s="106" t="s">
        <v>184</v>
      </c>
      <c r="K16" s="34"/>
      <c r="L16" s="87"/>
    </row>
    <row r="17" spans="7:12">
      <c r="G17" s="176"/>
      <c r="H17" s="83" t="s">
        <v>185</v>
      </c>
      <c r="I17" s="50">
        <v>45</v>
      </c>
      <c r="J17" s="83" t="s">
        <v>186</v>
      </c>
      <c r="K17" s="34"/>
      <c r="L17" s="87"/>
    </row>
    <row r="18" spans="7:12">
      <c r="G18" s="177"/>
      <c r="H18" s="178"/>
      <c r="I18" s="178"/>
      <c r="J18" s="178"/>
      <c r="K18" s="178"/>
      <c r="L18" s="171"/>
    </row>
  </sheetData>
  <mergeCells count="12">
    <mergeCell ref="C6:E6"/>
    <mergeCell ref="C7:E7"/>
    <mergeCell ref="C1:E1"/>
    <mergeCell ref="C2:E2"/>
    <mergeCell ref="C3:E3"/>
    <mergeCell ref="C4:E4"/>
    <mergeCell ref="C5:E5"/>
    <mergeCell ref="C8:E8"/>
    <mergeCell ref="C9:E9"/>
    <mergeCell ref="C10:E10"/>
    <mergeCell ref="C11:E11"/>
    <mergeCell ref="D12:E1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B2:S55"/>
  <sheetViews>
    <sheetView workbookViewId="0">
      <selection activeCell="E16" sqref="E16"/>
    </sheetView>
  </sheetViews>
  <sheetFormatPr defaultColWidth="14.3984375" defaultRowHeight="15" customHeight="1"/>
  <cols>
    <col min="5" max="5" width="31" customWidth="1"/>
  </cols>
  <sheetData>
    <row r="2" spans="2:19">
      <c r="B2" s="203" t="s">
        <v>187</v>
      </c>
      <c r="C2" s="184"/>
      <c r="D2" s="184"/>
      <c r="E2" s="184"/>
      <c r="F2" s="184"/>
      <c r="G2" s="184"/>
      <c r="H2" s="185"/>
      <c r="L2" s="203" t="s">
        <v>188</v>
      </c>
      <c r="M2" s="184"/>
      <c r="N2" s="184"/>
      <c r="O2" s="184"/>
      <c r="P2" s="184"/>
      <c r="Q2" s="184"/>
      <c r="R2" s="184"/>
      <c r="S2" s="185"/>
    </row>
    <row r="3" spans="2:19">
      <c r="B3" s="189"/>
      <c r="C3" s="190"/>
      <c r="D3" s="190"/>
      <c r="E3" s="190"/>
      <c r="F3" s="190"/>
      <c r="G3" s="190"/>
      <c r="H3" s="191"/>
      <c r="L3" s="186"/>
      <c r="M3" s="187"/>
      <c r="N3" s="187"/>
      <c r="O3" s="187"/>
      <c r="P3" s="187"/>
      <c r="Q3" s="187"/>
      <c r="R3" s="187"/>
      <c r="S3" s="188"/>
    </row>
    <row r="4" spans="2:19">
      <c r="L4" s="189"/>
      <c r="M4" s="190"/>
      <c r="N4" s="190"/>
      <c r="O4" s="190"/>
      <c r="P4" s="190"/>
      <c r="Q4" s="190"/>
      <c r="R4" s="190"/>
      <c r="S4" s="191"/>
    </row>
    <row r="5" spans="2:19">
      <c r="D5" s="108" t="s">
        <v>189</v>
      </c>
      <c r="E5" s="109"/>
      <c r="F5" s="201"/>
      <c r="G5" s="187"/>
    </row>
    <row r="6" spans="2:19">
      <c r="D6" s="110" t="s">
        <v>71</v>
      </c>
      <c r="E6" s="110" t="s">
        <v>26</v>
      </c>
      <c r="F6" s="201"/>
      <c r="G6" s="187"/>
      <c r="M6" s="35" t="s">
        <v>190</v>
      </c>
      <c r="N6" s="34"/>
      <c r="O6" s="34"/>
      <c r="P6" s="34"/>
      <c r="Q6" s="34"/>
    </row>
    <row r="7" spans="2:19">
      <c r="D7" s="111">
        <v>12</v>
      </c>
      <c r="E7" s="112" t="s">
        <v>74</v>
      </c>
      <c r="F7" s="201"/>
      <c r="G7" s="187"/>
      <c r="M7" s="34"/>
      <c r="N7" s="34"/>
      <c r="O7" s="34"/>
      <c r="P7" s="34"/>
      <c r="Q7" s="34"/>
    </row>
    <row r="8" spans="2:19">
      <c r="D8" s="111">
        <v>13</v>
      </c>
      <c r="E8" s="112" t="s">
        <v>191</v>
      </c>
      <c r="F8" s="201"/>
      <c r="G8" s="187"/>
      <c r="M8" s="113" t="s">
        <v>192</v>
      </c>
      <c r="N8" s="113" t="s">
        <v>135</v>
      </c>
      <c r="O8" s="113" t="s">
        <v>193</v>
      </c>
      <c r="P8" s="113" t="s">
        <v>194</v>
      </c>
      <c r="Q8" s="113" t="s">
        <v>195</v>
      </c>
    </row>
    <row r="9" spans="2:19">
      <c r="D9" s="111">
        <v>14</v>
      </c>
      <c r="E9" s="112" t="s">
        <v>112</v>
      </c>
      <c r="F9" s="201"/>
      <c r="G9" s="187"/>
      <c r="M9" s="40" t="s">
        <v>196</v>
      </c>
      <c r="N9" s="40" t="s">
        <v>197</v>
      </c>
      <c r="O9" s="41">
        <v>3343453</v>
      </c>
      <c r="P9" s="40" t="s">
        <v>198</v>
      </c>
      <c r="Q9" s="41">
        <v>2013</v>
      </c>
    </row>
    <row r="10" spans="2:19">
      <c r="D10" s="111">
        <v>12</v>
      </c>
      <c r="E10" s="112" t="s">
        <v>199</v>
      </c>
      <c r="F10" s="201"/>
      <c r="G10" s="187"/>
      <c r="M10" s="40" t="s">
        <v>200</v>
      </c>
      <c r="N10" s="40" t="s">
        <v>201</v>
      </c>
      <c r="O10" s="41">
        <v>5535334</v>
      </c>
      <c r="P10" s="40" t="s">
        <v>107</v>
      </c>
      <c r="Q10" s="41">
        <v>2015</v>
      </c>
    </row>
    <row r="11" spans="2:19">
      <c r="D11" s="111">
        <v>16</v>
      </c>
      <c r="E11" s="112" t="s">
        <v>77</v>
      </c>
      <c r="F11" s="201"/>
      <c r="G11" s="187"/>
      <c r="M11" s="40" t="s">
        <v>202</v>
      </c>
      <c r="N11" s="40" t="s">
        <v>203</v>
      </c>
      <c r="O11" s="41">
        <v>6474574</v>
      </c>
      <c r="P11" s="40" t="s">
        <v>198</v>
      </c>
      <c r="Q11" s="41">
        <v>2012</v>
      </c>
    </row>
    <row r="12" spans="2:19">
      <c r="D12" s="111">
        <v>15</v>
      </c>
      <c r="E12" s="112" t="s">
        <v>204</v>
      </c>
      <c r="F12" s="201"/>
      <c r="G12" s="187"/>
      <c r="M12" s="40" t="s">
        <v>205</v>
      </c>
      <c r="N12" s="40" t="s">
        <v>206</v>
      </c>
      <c r="O12" s="41">
        <v>5544667</v>
      </c>
      <c r="P12" s="40" t="s">
        <v>110</v>
      </c>
      <c r="Q12" s="41">
        <v>2014</v>
      </c>
    </row>
    <row r="13" spans="2:19">
      <c r="D13" s="109"/>
      <c r="E13" s="109"/>
      <c r="F13" s="201"/>
      <c r="G13" s="187"/>
      <c r="M13" s="40" t="s">
        <v>207</v>
      </c>
      <c r="N13" s="40" t="s">
        <v>208</v>
      </c>
      <c r="O13" s="41">
        <v>4356434</v>
      </c>
      <c r="P13" s="40" t="s">
        <v>209</v>
      </c>
      <c r="Q13" s="41">
        <v>2015</v>
      </c>
    </row>
    <row r="14" spans="2:19">
      <c r="D14" s="109" t="s">
        <v>210</v>
      </c>
      <c r="E14" s="108" t="s">
        <v>77</v>
      </c>
      <c r="F14" s="109"/>
      <c r="G14" s="114"/>
      <c r="M14" s="34"/>
      <c r="N14" s="34"/>
      <c r="O14" s="34"/>
      <c r="P14" s="34"/>
      <c r="Q14" s="34"/>
    </row>
    <row r="15" spans="2:19">
      <c r="D15" s="109" t="s">
        <v>71</v>
      </c>
      <c r="E15" s="115">
        <f>_xlfn.XLOOKUP(E14, E7:E12, D7:D12)</f>
        <v>16</v>
      </c>
      <c r="F15" s="109"/>
      <c r="G15" s="108" t="s">
        <v>211</v>
      </c>
      <c r="M15" s="34" t="s">
        <v>212</v>
      </c>
      <c r="N15" s="116">
        <v>3343453</v>
      </c>
      <c r="O15" s="34"/>
      <c r="P15" s="34"/>
      <c r="Q15" s="34"/>
    </row>
    <row r="16" spans="2:19">
      <c r="D16" s="109"/>
      <c r="E16" s="109"/>
      <c r="F16" s="201"/>
      <c r="G16" s="187"/>
      <c r="M16" s="113" t="s">
        <v>192</v>
      </c>
      <c r="N16" s="113" t="s">
        <v>135</v>
      </c>
      <c r="O16" s="113" t="s">
        <v>193</v>
      </c>
      <c r="P16" s="113" t="s">
        <v>194</v>
      </c>
      <c r="Q16" s="113" t="s">
        <v>195</v>
      </c>
    </row>
    <row r="17" spans="2:19">
      <c r="D17" s="109"/>
      <c r="E17" s="109"/>
      <c r="F17" s="201"/>
      <c r="G17" s="187"/>
      <c r="M17" s="42" t="e">
        <f t="array" aca="1" ref="M17:Q17" ca="1">_xludf.XLOOKUP(N15, O9:O13, M9:Q13)</f>
        <v>#NAME?</v>
      </c>
      <c r="N17" s="40" t="e">
        <f ca="1"/>
        <v>#NAME?</v>
      </c>
      <c r="O17" s="40" t="e">
        <f ca="1"/>
        <v>#NAME?</v>
      </c>
      <c r="P17" s="40" t="e">
        <f ca="1"/>
        <v>#NAME?</v>
      </c>
      <c r="Q17" s="40" t="e">
        <f ca="1"/>
        <v>#NAME?</v>
      </c>
    </row>
    <row r="18" spans="2:19">
      <c r="M18" s="35" t="s">
        <v>213</v>
      </c>
      <c r="N18" s="34"/>
      <c r="O18" s="34"/>
      <c r="P18" s="34"/>
      <c r="Q18" s="34"/>
    </row>
    <row r="21" spans="2:19">
      <c r="B21" s="202" t="s">
        <v>214</v>
      </c>
      <c r="C21" s="184"/>
      <c r="D21" s="184"/>
      <c r="E21" s="184"/>
      <c r="F21" s="184"/>
      <c r="G21" s="184"/>
      <c r="H21" s="185"/>
      <c r="L21" s="202" t="s">
        <v>215</v>
      </c>
      <c r="M21" s="184"/>
      <c r="N21" s="184"/>
      <c r="O21" s="184"/>
      <c r="P21" s="184"/>
      <c r="Q21" s="184"/>
      <c r="R21" s="184"/>
      <c r="S21" s="185"/>
    </row>
    <row r="22" spans="2:19">
      <c r="B22" s="189"/>
      <c r="C22" s="190"/>
      <c r="D22" s="190"/>
      <c r="E22" s="190"/>
      <c r="F22" s="190"/>
      <c r="G22" s="190"/>
      <c r="H22" s="191"/>
      <c r="L22" s="186"/>
      <c r="M22" s="187"/>
      <c r="N22" s="187"/>
      <c r="O22" s="187"/>
      <c r="P22" s="187"/>
      <c r="Q22" s="187"/>
      <c r="R22" s="187"/>
      <c r="S22" s="188"/>
    </row>
    <row r="23" spans="2:19">
      <c r="L23" s="186"/>
      <c r="M23" s="187"/>
      <c r="N23" s="187"/>
      <c r="O23" s="187"/>
      <c r="P23" s="187"/>
      <c r="Q23" s="187"/>
      <c r="R23" s="187"/>
      <c r="S23" s="188"/>
    </row>
    <row r="24" spans="2:19">
      <c r="C24" s="108" t="s">
        <v>216</v>
      </c>
      <c r="D24" s="109"/>
      <c r="E24" s="109"/>
      <c r="F24" s="109"/>
      <c r="L24" s="189"/>
      <c r="M24" s="190"/>
      <c r="N24" s="190"/>
      <c r="O24" s="190"/>
      <c r="P24" s="190"/>
      <c r="Q24" s="190"/>
      <c r="R24" s="190"/>
      <c r="S24" s="191"/>
    </row>
    <row r="25" spans="2:19">
      <c r="C25" s="109" t="s">
        <v>217</v>
      </c>
      <c r="D25" s="109"/>
      <c r="E25" s="109"/>
      <c r="F25" s="109"/>
    </row>
    <row r="26" spans="2:19">
      <c r="C26" s="109" t="s">
        <v>218</v>
      </c>
      <c r="D26" s="109"/>
      <c r="E26" s="109"/>
      <c r="F26" s="109"/>
      <c r="L26" s="165"/>
      <c r="M26" s="109" t="s">
        <v>219</v>
      </c>
      <c r="N26" s="109"/>
      <c r="O26" s="109"/>
      <c r="P26" s="109"/>
    </row>
    <row r="27" spans="2:19">
      <c r="C27" s="109"/>
      <c r="D27" s="109"/>
      <c r="E27" s="109"/>
      <c r="F27" s="109"/>
      <c r="M27" s="109" t="s">
        <v>220</v>
      </c>
      <c r="N27" s="109"/>
      <c r="O27" s="109"/>
      <c r="P27" s="109"/>
    </row>
    <row r="28" spans="2:19">
      <c r="C28" s="117" t="s">
        <v>26</v>
      </c>
      <c r="D28" s="117" t="s">
        <v>221</v>
      </c>
      <c r="E28" s="117" t="s">
        <v>222</v>
      </c>
      <c r="F28" s="109"/>
      <c r="M28" s="109"/>
      <c r="N28" s="109"/>
      <c r="O28" s="109"/>
      <c r="P28" s="109"/>
    </row>
    <row r="29" spans="2:19">
      <c r="C29" s="112" t="s">
        <v>78</v>
      </c>
      <c r="D29" s="112" t="s">
        <v>114</v>
      </c>
      <c r="E29" s="112" t="s">
        <v>209</v>
      </c>
      <c r="F29" s="109"/>
      <c r="M29" s="117" t="s">
        <v>26</v>
      </c>
      <c r="N29" s="117" t="s">
        <v>223</v>
      </c>
      <c r="O29" s="109"/>
      <c r="P29" s="109"/>
    </row>
    <row r="30" spans="2:19">
      <c r="C30" s="112" t="s">
        <v>112</v>
      </c>
      <c r="D30" s="112" t="s">
        <v>224</v>
      </c>
      <c r="E30" s="112" t="s">
        <v>225</v>
      </c>
      <c r="F30" s="109"/>
      <c r="M30" s="112" t="s">
        <v>78</v>
      </c>
      <c r="N30" s="112" t="s">
        <v>226</v>
      </c>
      <c r="O30" s="109"/>
      <c r="P30" s="109"/>
    </row>
    <row r="31" spans="2:19">
      <c r="C31" s="112" t="s">
        <v>227</v>
      </c>
      <c r="D31" s="112" t="s">
        <v>228</v>
      </c>
      <c r="E31" s="112" t="s">
        <v>198</v>
      </c>
      <c r="F31" s="109"/>
      <c r="M31" s="112" t="s">
        <v>112</v>
      </c>
      <c r="N31" s="112" t="s">
        <v>229</v>
      </c>
      <c r="O31" s="109"/>
      <c r="P31" s="109"/>
    </row>
    <row r="32" spans="2:19">
      <c r="C32" s="112" t="s">
        <v>78</v>
      </c>
      <c r="D32" s="112" t="s">
        <v>230</v>
      </c>
      <c r="E32" s="112" t="s">
        <v>110</v>
      </c>
      <c r="F32" s="109"/>
      <c r="M32" s="112" t="s">
        <v>227</v>
      </c>
      <c r="N32" s="112" t="s">
        <v>231</v>
      </c>
      <c r="O32" s="109"/>
      <c r="P32" s="109"/>
    </row>
    <row r="33" spans="3:16">
      <c r="C33" s="112" t="s">
        <v>232</v>
      </c>
      <c r="D33" s="112" t="s">
        <v>233</v>
      </c>
      <c r="E33" s="112" t="s">
        <v>107</v>
      </c>
      <c r="F33" s="109"/>
      <c r="M33" s="112" t="s">
        <v>78</v>
      </c>
      <c r="N33" s="112" t="s">
        <v>234</v>
      </c>
      <c r="O33" s="109"/>
      <c r="P33" s="109"/>
    </row>
    <row r="34" spans="3:16">
      <c r="C34" s="112" t="s">
        <v>235</v>
      </c>
      <c r="D34" s="112" t="s">
        <v>236</v>
      </c>
      <c r="E34" s="112" t="s">
        <v>225</v>
      </c>
      <c r="F34" s="109"/>
      <c r="M34" s="112" t="s">
        <v>232</v>
      </c>
      <c r="N34" s="112" t="s">
        <v>237</v>
      </c>
      <c r="O34" s="109"/>
      <c r="P34" s="109"/>
    </row>
    <row r="35" spans="3:16">
      <c r="C35" s="112" t="s">
        <v>74</v>
      </c>
      <c r="D35" s="112" t="s">
        <v>238</v>
      </c>
      <c r="E35" s="112" t="s">
        <v>198</v>
      </c>
      <c r="F35" s="109"/>
      <c r="M35" s="109"/>
      <c r="N35" s="109"/>
      <c r="O35" s="109"/>
      <c r="P35" s="109"/>
    </row>
    <row r="36" spans="3:16">
      <c r="C36" s="109"/>
      <c r="D36" s="109"/>
      <c r="E36" s="109"/>
      <c r="F36" s="109"/>
      <c r="M36" s="109" t="s">
        <v>210</v>
      </c>
      <c r="N36" s="109" t="s">
        <v>239</v>
      </c>
      <c r="O36" s="109"/>
      <c r="P36" s="109"/>
    </row>
    <row r="37" spans="3:16">
      <c r="C37" s="109" t="s">
        <v>210</v>
      </c>
      <c r="D37" s="109" t="s">
        <v>78</v>
      </c>
      <c r="E37" s="109"/>
      <c r="F37" s="109"/>
      <c r="M37" s="109" t="s">
        <v>240</v>
      </c>
      <c r="N37" s="118" t="e">
        <f t="array" aca="1" ref="N37" ca="1">_xludf.XLOOKUP(N36, M30:M34, N30:N34, "Not Found")</f>
        <v>#NAME?</v>
      </c>
      <c r="O37" s="108" t="s">
        <v>211</v>
      </c>
      <c r="P37" s="109"/>
    </row>
    <row r="38" spans="3:16">
      <c r="C38" s="109" t="s">
        <v>241</v>
      </c>
      <c r="D38" s="115" t="e">
        <f t="array" aca="1" ref="D38" ca="1">_xludf.XLOOKUP(D37, C29:C35, E29:E35, -1)</f>
        <v>#NAME?</v>
      </c>
      <c r="E38" s="108" t="s">
        <v>211</v>
      </c>
      <c r="F38" s="109"/>
    </row>
    <row r="39" spans="3:16">
      <c r="C39" s="109"/>
      <c r="D39" s="109"/>
      <c r="E39" s="109"/>
      <c r="F39" s="109"/>
    </row>
    <row r="42" spans="3:16">
      <c r="C42" s="109" t="s">
        <v>242</v>
      </c>
      <c r="D42" s="109"/>
      <c r="E42" s="109"/>
    </row>
    <row r="43" spans="3:16">
      <c r="C43" s="109" t="s">
        <v>243</v>
      </c>
      <c r="D43" s="109"/>
      <c r="E43" s="109"/>
    </row>
    <row r="44" spans="3:16">
      <c r="C44" s="109"/>
      <c r="D44" s="109"/>
      <c r="E44" s="109"/>
    </row>
    <row r="45" spans="3:16">
      <c r="C45" s="108" t="s">
        <v>244</v>
      </c>
      <c r="D45" s="109"/>
      <c r="E45" s="109"/>
    </row>
    <row r="46" spans="3:16">
      <c r="C46" s="119" t="s">
        <v>110</v>
      </c>
      <c r="D46" s="120" t="s">
        <v>245</v>
      </c>
      <c r="E46" s="109"/>
    </row>
    <row r="47" spans="3:16">
      <c r="C47" s="109" t="s">
        <v>246</v>
      </c>
      <c r="D47" s="109"/>
      <c r="E47" s="109"/>
    </row>
    <row r="48" spans="3:16">
      <c r="C48" s="109"/>
      <c r="D48" s="109"/>
      <c r="E48" s="109"/>
    </row>
    <row r="49" spans="3:5">
      <c r="C49" s="108" t="s">
        <v>247</v>
      </c>
      <c r="D49" s="121" t="s">
        <v>248</v>
      </c>
      <c r="E49" s="109"/>
    </row>
    <row r="50" spans="3:5">
      <c r="C50" s="119" t="s">
        <v>110</v>
      </c>
      <c r="D50" s="122" t="e">
        <f t="array" aca="1" ref="D50" ca="1">_xludf.XLOOKUP(B14,A6:A12,C6:C12,"not found",,-1)</f>
        <v>#NAME?</v>
      </c>
      <c r="E50" s="109"/>
    </row>
    <row r="51" spans="3:5">
      <c r="C51" s="109" t="s">
        <v>249</v>
      </c>
      <c r="D51" s="109"/>
      <c r="E51" s="109"/>
    </row>
    <row r="52" spans="3:5">
      <c r="C52" s="109"/>
      <c r="D52" s="109"/>
      <c r="E52" s="109"/>
    </row>
    <row r="53" spans="3:5">
      <c r="C53" s="108" t="s">
        <v>250</v>
      </c>
      <c r="D53" s="109"/>
      <c r="E53" s="109"/>
    </row>
    <row r="54" spans="3:5">
      <c r="C54" s="119" t="s">
        <v>110</v>
      </c>
      <c r="D54" s="120" t="s">
        <v>251</v>
      </c>
      <c r="E54" s="109"/>
    </row>
    <row r="55" spans="3:5">
      <c r="C55" s="109" t="s">
        <v>252</v>
      </c>
      <c r="D55" s="109"/>
      <c r="E55" s="109"/>
    </row>
  </sheetData>
  <mergeCells count="15">
    <mergeCell ref="F17:G17"/>
    <mergeCell ref="B21:H22"/>
    <mergeCell ref="L21:S24"/>
    <mergeCell ref="B2:H3"/>
    <mergeCell ref="L2:S4"/>
    <mergeCell ref="F5:G5"/>
    <mergeCell ref="F6:G6"/>
    <mergeCell ref="F7:G7"/>
    <mergeCell ref="F8:G8"/>
    <mergeCell ref="F9:G9"/>
    <mergeCell ref="F10:G10"/>
    <mergeCell ref="F11:G11"/>
    <mergeCell ref="F12:G12"/>
    <mergeCell ref="F13:G13"/>
    <mergeCell ref="F16:G16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L25"/>
  <sheetViews>
    <sheetView workbookViewId="0">
      <selection activeCell="H15" sqref="H15"/>
    </sheetView>
  </sheetViews>
  <sheetFormatPr defaultColWidth="14.3984375" defaultRowHeight="15" customHeight="1"/>
  <cols>
    <col min="8" max="8" width="34.3984375" bestFit="1" customWidth="1"/>
  </cols>
  <sheetData>
    <row r="1" spans="1:12">
      <c r="A1" s="35" t="s">
        <v>253</v>
      </c>
      <c r="B1" s="34"/>
      <c r="C1" s="34"/>
      <c r="D1" s="34"/>
      <c r="E1" s="34"/>
    </row>
    <row r="2" spans="1:12">
      <c r="A2" s="40" t="s">
        <v>254</v>
      </c>
      <c r="B2" s="34"/>
      <c r="C2" s="34"/>
      <c r="D2" s="34"/>
      <c r="E2" s="34"/>
    </row>
    <row r="3" spans="1:12">
      <c r="A3" s="40" t="s">
        <v>255</v>
      </c>
      <c r="B3" s="34"/>
      <c r="C3" s="34"/>
      <c r="D3" s="34"/>
      <c r="E3" s="34"/>
    </row>
    <row r="4" spans="1:12">
      <c r="A4" s="40" t="s">
        <v>256</v>
      </c>
      <c r="B4" s="34"/>
      <c r="C4" s="34"/>
      <c r="D4" s="34"/>
      <c r="E4" s="34"/>
      <c r="G4" s="35" t="s">
        <v>257</v>
      </c>
      <c r="H4" s="34"/>
      <c r="I4" s="34"/>
      <c r="J4" s="34"/>
      <c r="K4" s="34"/>
      <c r="L4" s="34"/>
    </row>
    <row r="5" spans="1:12">
      <c r="A5" s="40" t="s">
        <v>258</v>
      </c>
      <c r="B5" s="34"/>
      <c r="C5" s="34"/>
      <c r="D5" s="34"/>
      <c r="E5" s="34"/>
      <c r="G5" s="39" t="s">
        <v>164</v>
      </c>
      <c r="H5" s="39" t="s">
        <v>26</v>
      </c>
      <c r="I5" s="34"/>
      <c r="J5" s="34"/>
      <c r="K5" s="34"/>
      <c r="L5" s="34"/>
    </row>
    <row r="6" spans="1:12">
      <c r="A6" s="40" t="s">
        <v>259</v>
      </c>
      <c r="B6" s="34"/>
      <c r="C6" s="34"/>
      <c r="D6" s="34"/>
      <c r="E6" s="34"/>
      <c r="G6" s="41">
        <v>9584423</v>
      </c>
      <c r="H6" s="40" t="s">
        <v>30</v>
      </c>
      <c r="I6" s="34"/>
      <c r="J6" s="34"/>
      <c r="K6" s="34"/>
      <c r="L6" s="34"/>
    </row>
    <row r="7" spans="1:12">
      <c r="A7" s="40" t="s">
        <v>186</v>
      </c>
      <c r="B7" s="34"/>
      <c r="C7" s="34"/>
      <c r="D7" s="34"/>
      <c r="E7" s="34"/>
      <c r="G7" s="41">
        <v>5034521</v>
      </c>
      <c r="H7" s="40" t="s">
        <v>260</v>
      </c>
      <c r="I7" s="34"/>
      <c r="J7" s="34"/>
      <c r="K7" s="34"/>
      <c r="L7" s="34"/>
    </row>
    <row r="8" spans="1:12">
      <c r="A8" s="34"/>
      <c r="B8" s="34"/>
      <c r="C8" s="34"/>
      <c r="D8" s="34"/>
      <c r="E8" s="34"/>
      <c r="G8" s="41">
        <v>9543669</v>
      </c>
      <c r="H8" s="40" t="s">
        <v>261</v>
      </c>
      <c r="I8" s="34"/>
      <c r="J8" s="34"/>
      <c r="K8" s="34"/>
      <c r="L8" s="34"/>
    </row>
    <row r="9" spans="1:12">
      <c r="A9" s="34"/>
      <c r="B9" s="34"/>
      <c r="C9" s="34"/>
      <c r="D9" s="34"/>
      <c r="E9" s="34"/>
      <c r="G9" s="41">
        <v>9995553</v>
      </c>
      <c r="H9" s="40" t="s">
        <v>262</v>
      </c>
      <c r="I9" s="34"/>
      <c r="J9" s="34"/>
      <c r="K9" s="34"/>
      <c r="L9" s="34"/>
    </row>
    <row r="10" spans="1:12">
      <c r="A10" s="34" t="s">
        <v>95</v>
      </c>
      <c r="B10" s="76" t="str">
        <f>INDEX(A2:A7,4,1)</f>
        <v>Dell</v>
      </c>
      <c r="C10" s="35" t="s">
        <v>211</v>
      </c>
      <c r="D10" s="34"/>
      <c r="E10" s="34"/>
      <c r="G10" s="41">
        <v>8595323</v>
      </c>
      <c r="H10" s="40" t="s">
        <v>29</v>
      </c>
      <c r="I10" s="34"/>
      <c r="J10" s="34"/>
      <c r="K10" s="34"/>
      <c r="L10" s="34"/>
    </row>
    <row r="11" spans="1:12">
      <c r="G11" s="41">
        <v>9359305</v>
      </c>
      <c r="H11" s="40" t="s">
        <v>263</v>
      </c>
      <c r="I11" s="34"/>
      <c r="J11" s="34"/>
      <c r="K11" s="34"/>
      <c r="L11" s="34"/>
    </row>
    <row r="12" spans="1:12">
      <c r="G12" s="34"/>
      <c r="H12" s="34"/>
      <c r="I12" s="34"/>
      <c r="J12" s="34"/>
      <c r="K12" s="34"/>
      <c r="L12" s="34"/>
    </row>
    <row r="13" spans="1:12">
      <c r="G13" s="34" t="s">
        <v>210</v>
      </c>
      <c r="H13" s="35" t="s">
        <v>262</v>
      </c>
      <c r="I13" s="34"/>
      <c r="J13" s="34"/>
      <c r="K13" s="34"/>
      <c r="L13" s="34"/>
    </row>
    <row r="14" spans="1:12">
      <c r="A14" s="35" t="s">
        <v>264</v>
      </c>
      <c r="B14" s="35"/>
      <c r="C14" s="35"/>
      <c r="D14" s="35"/>
      <c r="E14" s="35"/>
      <c r="F14" s="34"/>
      <c r="G14" s="34" t="s">
        <v>95</v>
      </c>
      <c r="H14" s="76">
        <f>INDEX(G6:G11,MATCH(H13,H6:H11,0))</f>
        <v>9995553</v>
      </c>
      <c r="I14" s="35" t="s">
        <v>211</v>
      </c>
      <c r="J14" s="34"/>
      <c r="K14" s="34"/>
      <c r="L14" s="34"/>
    </row>
    <row r="15" spans="1:12">
      <c r="A15" s="34"/>
      <c r="B15" s="35" t="s">
        <v>265</v>
      </c>
      <c r="C15" s="34"/>
      <c r="D15" s="34"/>
      <c r="E15" s="34"/>
      <c r="F15" s="34"/>
      <c r="G15" s="34"/>
      <c r="H15" s="34"/>
      <c r="I15" s="34"/>
      <c r="J15" s="34"/>
      <c r="K15" s="34"/>
      <c r="L15" s="34"/>
    </row>
    <row r="16" spans="1:12">
      <c r="A16" s="34"/>
      <c r="B16" s="40" t="s">
        <v>266</v>
      </c>
      <c r="C16" s="34"/>
      <c r="D16" s="34"/>
      <c r="E16" s="34"/>
      <c r="F16" s="34"/>
    </row>
    <row r="17" spans="1:6">
      <c r="A17" s="34"/>
      <c r="B17" s="40" t="s">
        <v>267</v>
      </c>
      <c r="C17" s="34"/>
      <c r="D17" s="34"/>
      <c r="E17" s="34"/>
      <c r="F17" s="34"/>
    </row>
    <row r="18" spans="1:6">
      <c r="A18" s="34"/>
      <c r="B18" s="40" t="s">
        <v>268</v>
      </c>
      <c r="C18" s="34"/>
      <c r="D18" s="34"/>
      <c r="E18" s="34"/>
      <c r="F18" s="34"/>
    </row>
    <row r="19" spans="1:6">
      <c r="A19" s="34"/>
      <c r="B19" s="40" t="s">
        <v>269</v>
      </c>
      <c r="C19" s="34"/>
      <c r="D19" s="34"/>
      <c r="E19" s="34"/>
      <c r="F19" s="34"/>
    </row>
    <row r="20" spans="1:6">
      <c r="A20" s="34"/>
      <c r="B20" s="40" t="s">
        <v>270</v>
      </c>
      <c r="C20" s="34"/>
      <c r="D20" s="34"/>
      <c r="E20" s="34"/>
      <c r="F20" s="34"/>
    </row>
    <row r="21" spans="1:6">
      <c r="A21" s="34"/>
      <c r="B21" s="40" t="s">
        <v>271</v>
      </c>
      <c r="C21" s="34"/>
      <c r="D21" s="34"/>
      <c r="E21" s="34"/>
      <c r="F21" s="34"/>
    </row>
    <row r="22" spans="1:6">
      <c r="A22" s="34"/>
      <c r="B22" s="40" t="s">
        <v>272</v>
      </c>
      <c r="C22" s="34"/>
      <c r="D22" s="34"/>
      <c r="E22" s="34"/>
      <c r="F22" s="34"/>
    </row>
    <row r="23" spans="1:6">
      <c r="A23" s="34"/>
      <c r="B23" s="34"/>
      <c r="C23" s="34"/>
      <c r="D23" s="34"/>
      <c r="E23" s="34"/>
      <c r="F23" s="34"/>
    </row>
    <row r="24" spans="1:6">
      <c r="A24" s="34" t="s">
        <v>95</v>
      </c>
      <c r="B24" s="76">
        <f>MATCH(B21,B16:B22,)</f>
        <v>6</v>
      </c>
      <c r="C24" s="35" t="s">
        <v>153</v>
      </c>
      <c r="D24" s="34"/>
      <c r="E24" s="34"/>
      <c r="F24" s="34"/>
    </row>
    <row r="25" spans="1:6">
      <c r="A25" s="34"/>
      <c r="B25" s="34"/>
      <c r="C25" s="34"/>
      <c r="D25" s="34"/>
      <c r="E25" s="34"/>
      <c r="F25" s="34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C14"/>
  <sheetViews>
    <sheetView workbookViewId="0">
      <selection activeCell="E14" sqref="E14"/>
    </sheetView>
  </sheetViews>
  <sheetFormatPr defaultColWidth="14.3984375" defaultRowHeight="15" customHeight="1"/>
  <cols>
    <col min="1" max="1" width="29" customWidth="1"/>
  </cols>
  <sheetData>
    <row r="1" spans="1:3">
      <c r="A1" s="35" t="s">
        <v>273</v>
      </c>
      <c r="B1" s="34"/>
      <c r="C1" s="34"/>
    </row>
    <row r="2" spans="1:3">
      <c r="A2" s="34"/>
      <c r="B2" s="34"/>
      <c r="C2" s="34"/>
    </row>
    <row r="3" spans="1:3">
      <c r="A3" s="86" t="s">
        <v>274</v>
      </c>
      <c r="B3" s="76" t="str">
        <f>LEFT(A3, 4)</f>
        <v>Lady</v>
      </c>
      <c r="C3" s="35" t="s">
        <v>34</v>
      </c>
    </row>
    <row r="4" spans="1:3">
      <c r="A4" s="34"/>
      <c r="B4" s="34"/>
      <c r="C4" s="34"/>
    </row>
    <row r="5" spans="1:3">
      <c r="A5" s="35" t="s">
        <v>275</v>
      </c>
      <c r="B5" s="34"/>
      <c r="C5" s="34"/>
    </row>
    <row r="6" spans="1:3">
      <c r="A6" s="34"/>
      <c r="B6" s="34"/>
      <c r="C6" s="34"/>
    </row>
    <row r="7" spans="1:3">
      <c r="A7" s="86" t="s">
        <v>276</v>
      </c>
      <c r="B7" s="76" t="str">
        <f>RIGHT(A7, 8)</f>
        <v>Zeppelin</v>
      </c>
      <c r="C7" s="35" t="s">
        <v>34</v>
      </c>
    </row>
    <row r="8" spans="1:3">
      <c r="A8" s="34"/>
      <c r="B8" s="34"/>
      <c r="C8" s="34"/>
    </row>
    <row r="9" spans="1:3">
      <c r="A9" s="35" t="s">
        <v>277</v>
      </c>
      <c r="B9" s="34"/>
      <c r="C9" s="34"/>
    </row>
    <row r="10" spans="1:3">
      <c r="A10" s="34"/>
      <c r="B10" s="34"/>
      <c r="C10" s="34"/>
    </row>
    <row r="11" spans="1:3">
      <c r="A11" s="34" t="s">
        <v>278</v>
      </c>
      <c r="B11" s="34"/>
      <c r="C11" s="34"/>
    </row>
    <row r="12" spans="1:3">
      <c r="A12" s="34"/>
      <c r="B12" s="34"/>
      <c r="C12" s="34"/>
    </row>
    <row r="13" spans="1:3">
      <c r="A13" s="76" t="str">
        <f>MID(A11:K11, 103, 26)</f>
        <v>I am absolutely amazing!!!</v>
      </c>
      <c r="B13" s="34"/>
      <c r="C13" s="34"/>
    </row>
    <row r="14" spans="1:3">
      <c r="A14" s="35" t="s">
        <v>279</v>
      </c>
      <c r="B14" s="34"/>
      <c r="C14" s="34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B3:K28"/>
  <sheetViews>
    <sheetView topLeftCell="B13" workbookViewId="0">
      <selection activeCell="D29" sqref="D29"/>
    </sheetView>
  </sheetViews>
  <sheetFormatPr defaultColWidth="14.3984375" defaultRowHeight="15" customHeight="1"/>
  <cols>
    <col min="3" max="3" width="24.1328125" customWidth="1"/>
    <col min="4" max="4" width="24.265625" customWidth="1"/>
    <col min="5" max="5" width="28.1328125" customWidth="1"/>
    <col min="6" max="6" width="26.3984375" customWidth="1"/>
    <col min="7" max="7" width="29.59765625" customWidth="1"/>
    <col min="8" max="8" width="30.59765625" customWidth="1"/>
  </cols>
  <sheetData>
    <row r="3" spans="2:11" ht="14.25">
      <c r="C3" s="204" t="s">
        <v>280</v>
      </c>
      <c r="D3" s="184"/>
      <c r="E3" s="184"/>
      <c r="F3" s="184"/>
      <c r="G3" s="184"/>
      <c r="H3" s="185"/>
    </row>
    <row r="4" spans="2:11" ht="14.25">
      <c r="C4" s="189"/>
      <c r="D4" s="190"/>
      <c r="E4" s="190"/>
      <c r="F4" s="190"/>
      <c r="G4" s="190"/>
      <c r="H4" s="191"/>
      <c r="J4">
        <v>1</v>
      </c>
    </row>
    <row r="5" spans="2:11" ht="14.25">
      <c r="C5" s="34"/>
      <c r="D5" s="34"/>
      <c r="E5" s="34"/>
      <c r="F5" s="34"/>
      <c r="G5" s="34"/>
    </row>
    <row r="6" spans="2:11" ht="15" customHeight="1">
      <c r="B6" s="64"/>
      <c r="C6" s="63" t="s">
        <v>281</v>
      </c>
      <c r="D6" s="63"/>
      <c r="E6" s="63"/>
      <c r="F6" s="63"/>
      <c r="G6" s="63"/>
      <c r="H6" s="64"/>
      <c r="I6" s="64"/>
      <c r="J6" s="64"/>
    </row>
    <row r="7" spans="2:11" ht="14.25">
      <c r="C7" s="34"/>
      <c r="D7" s="34"/>
      <c r="E7" s="34"/>
      <c r="F7" s="34"/>
      <c r="G7" s="34"/>
    </row>
    <row r="8" spans="2:11" ht="14.25">
      <c r="C8" s="123" t="s">
        <v>282</v>
      </c>
      <c r="D8" s="123" t="s">
        <v>283</v>
      </c>
      <c r="E8" s="123" t="s">
        <v>284</v>
      </c>
      <c r="F8" s="39" t="s">
        <v>285</v>
      </c>
      <c r="G8" s="39" t="s">
        <v>286</v>
      </c>
    </row>
    <row r="9" spans="2:11" ht="14.25">
      <c r="C9" s="124" t="s">
        <v>287</v>
      </c>
      <c r="D9" s="124" t="s">
        <v>74</v>
      </c>
      <c r="E9" s="124" t="s">
        <v>288</v>
      </c>
      <c r="F9" s="42" t="str">
        <f>CONCATENATE(D9, E9)</f>
        <v>JohnSmith</v>
      </c>
      <c r="G9" s="42" t="str">
        <f>CONCATENATE(D9, "-", E9)</f>
        <v>John-Smith</v>
      </c>
    </row>
    <row r="10" spans="2:11" ht="14.25">
      <c r="C10" s="124" t="s">
        <v>289</v>
      </c>
      <c r="D10" s="124" t="s">
        <v>290</v>
      </c>
      <c r="E10" s="124" t="s">
        <v>291</v>
      </c>
      <c r="F10" s="42" t="str">
        <f t="shared" ref="F10:F11" si="0">CONCATENATE(D10, E10)</f>
        <v>JaneDoe</v>
      </c>
      <c r="G10" s="42" t="str">
        <f t="shared" ref="G10:G11" si="1">CONCATENATE(D10,"-",E10)</f>
        <v>Jane-Doe</v>
      </c>
    </row>
    <row r="11" spans="2:11" ht="14.25">
      <c r="C11" s="124" t="s">
        <v>292</v>
      </c>
      <c r="D11" s="124" t="s">
        <v>260</v>
      </c>
      <c r="E11" s="124" t="s">
        <v>293</v>
      </c>
      <c r="F11" s="42" t="str">
        <f t="shared" si="0"/>
        <v>BobJohnson</v>
      </c>
      <c r="G11" s="42" t="str">
        <f t="shared" si="1"/>
        <v>Bob-Johnson</v>
      </c>
    </row>
    <row r="15" spans="2:11" ht="14.25">
      <c r="C15" s="204" t="s">
        <v>294</v>
      </c>
      <c r="D15" s="184"/>
      <c r="E15" s="185"/>
      <c r="G15" s="204" t="s">
        <v>295</v>
      </c>
      <c r="H15" s="184"/>
      <c r="I15" s="184"/>
      <c r="J15" s="184"/>
      <c r="K15" s="185"/>
    </row>
    <row r="16" spans="2:11" ht="14.25">
      <c r="C16" s="186"/>
      <c r="D16" s="187"/>
      <c r="E16" s="188"/>
      <c r="G16" s="186"/>
      <c r="H16" s="187"/>
      <c r="I16" s="187"/>
      <c r="J16" s="187"/>
      <c r="K16" s="188"/>
    </row>
    <row r="17" spans="3:11" ht="14.25">
      <c r="C17" s="189"/>
      <c r="D17" s="190"/>
      <c r="E17" s="191"/>
      <c r="G17" s="189"/>
      <c r="H17" s="190"/>
      <c r="I17" s="190"/>
      <c r="J17" s="190"/>
      <c r="K17" s="191"/>
    </row>
    <row r="18" spans="3:11" ht="15" customHeight="1">
      <c r="C18" s="125"/>
      <c r="D18" s="125"/>
      <c r="E18" s="125"/>
      <c r="F18" s="34"/>
      <c r="G18" s="34"/>
      <c r="H18" s="62"/>
      <c r="I18" s="63"/>
      <c r="J18" s="64"/>
    </row>
    <row r="19" spans="3:11" ht="15.75">
      <c r="C19" s="125" t="s">
        <v>296</v>
      </c>
      <c r="D19" s="125"/>
      <c r="E19" s="125"/>
      <c r="F19" s="34"/>
      <c r="G19" s="34"/>
      <c r="H19" s="34"/>
      <c r="I19" s="34"/>
    </row>
    <row r="20" spans="3:11" ht="14.25">
      <c r="C20" s="35"/>
      <c r="D20" s="34"/>
      <c r="E20" s="34"/>
      <c r="F20" s="34"/>
      <c r="G20" s="34"/>
      <c r="H20" s="39" t="s">
        <v>297</v>
      </c>
      <c r="I20" s="34"/>
    </row>
    <row r="21" spans="3:11" ht="14.25">
      <c r="C21" s="34"/>
      <c r="D21" s="39" t="s">
        <v>297</v>
      </c>
      <c r="E21" s="34"/>
      <c r="F21" s="34"/>
      <c r="G21" s="34"/>
      <c r="H21" s="40" t="s">
        <v>298</v>
      </c>
      <c r="I21" s="34"/>
    </row>
    <row r="22" spans="3:11" ht="14.25">
      <c r="C22" s="34"/>
      <c r="D22" s="40" t="s">
        <v>299</v>
      </c>
      <c r="E22" s="34"/>
      <c r="F22" s="34"/>
      <c r="G22" s="34"/>
      <c r="H22" s="40"/>
      <c r="I22" s="34"/>
    </row>
    <row r="23" spans="3:11" ht="14.25">
      <c r="C23" s="34"/>
      <c r="D23" s="40" t="s">
        <v>300</v>
      </c>
      <c r="E23" s="34"/>
      <c r="F23" s="34"/>
      <c r="G23" s="34"/>
      <c r="H23" s="40" t="s">
        <v>301</v>
      </c>
      <c r="I23" s="34"/>
    </row>
    <row r="24" spans="3:11" ht="14.25">
      <c r="C24" s="34"/>
      <c r="D24" s="40" t="s">
        <v>266</v>
      </c>
      <c r="E24" s="34"/>
      <c r="F24" s="34"/>
      <c r="G24" s="34"/>
      <c r="H24" s="40"/>
      <c r="I24" s="34"/>
    </row>
    <row r="25" spans="3:11" ht="14.25">
      <c r="C25" s="34"/>
      <c r="D25" s="40" t="s">
        <v>302</v>
      </c>
      <c r="E25" s="34"/>
      <c r="F25" s="34"/>
      <c r="G25" s="34"/>
      <c r="H25" s="40" t="s">
        <v>303</v>
      </c>
      <c r="I25" s="34"/>
    </row>
    <row r="26" spans="3:11" ht="14.25">
      <c r="C26" s="34"/>
      <c r="D26" s="40" t="s">
        <v>304</v>
      </c>
      <c r="E26" s="34"/>
      <c r="F26" s="34"/>
      <c r="G26" s="34"/>
      <c r="H26" s="40" t="s">
        <v>305</v>
      </c>
      <c r="I26" s="34"/>
    </row>
    <row r="27" spans="3:11" ht="14.25">
      <c r="C27" s="34"/>
      <c r="D27" s="34"/>
      <c r="E27" s="34"/>
      <c r="F27" s="34"/>
      <c r="G27" s="34"/>
      <c r="H27" s="34"/>
      <c r="I27" s="34"/>
    </row>
    <row r="28" spans="3:11" ht="14.25">
      <c r="C28" s="34" t="s">
        <v>306</v>
      </c>
      <c r="D28" s="76" t="str">
        <f>_xlfn.TEXTJOIN(" ", TRUE, D22:D26)</f>
        <v>Mary had A Little Lamb</v>
      </c>
      <c r="E28" s="35" t="s">
        <v>211</v>
      </c>
      <c r="F28" s="34"/>
      <c r="G28" s="34"/>
      <c r="H28" s="76" t="str">
        <f>_xlfn.CONCAT(H21:H26)</f>
        <v>AreYou SleepingBrother John?</v>
      </c>
      <c r="I28" s="35" t="s">
        <v>307</v>
      </c>
    </row>
  </sheetData>
  <mergeCells count="3">
    <mergeCell ref="C3:H4"/>
    <mergeCell ref="C15:E17"/>
    <mergeCell ref="G15:K17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43D81-9B30-405B-A638-B45566E890B1}">
  <dimension ref="A1:J17"/>
  <sheetViews>
    <sheetView workbookViewId="0">
      <selection activeCell="M21" sqref="M21"/>
    </sheetView>
  </sheetViews>
  <sheetFormatPr defaultColWidth="9.1328125" defaultRowHeight="14.25"/>
  <cols>
    <col min="3" max="3" width="20.73046875" bestFit="1" customWidth="1"/>
    <col min="10" max="10" width="8.3984375" customWidth="1"/>
  </cols>
  <sheetData>
    <row r="1" spans="1:10">
      <c r="A1" s="205" t="s">
        <v>308</v>
      </c>
      <c r="B1" s="205"/>
      <c r="C1" s="205"/>
      <c r="D1" s="205"/>
    </row>
    <row r="2" spans="1:10">
      <c r="A2" s="140"/>
      <c r="B2" s="141" t="s">
        <v>309</v>
      </c>
      <c r="C2" s="140"/>
      <c r="D2" s="140"/>
    </row>
    <row r="3" spans="1:10">
      <c r="A3" s="140"/>
      <c r="B3" s="142">
        <v>999</v>
      </c>
      <c r="C3" s="140"/>
      <c r="D3" s="140"/>
      <c r="G3" s="205" t="s">
        <v>310</v>
      </c>
      <c r="H3" s="205"/>
      <c r="I3" s="205"/>
      <c r="J3" s="205"/>
    </row>
    <row r="4" spans="1:10">
      <c r="A4" s="140"/>
      <c r="B4" s="143">
        <v>1111</v>
      </c>
      <c r="C4" s="140"/>
      <c r="D4" s="140"/>
      <c r="G4" s="140"/>
      <c r="H4" s="140"/>
      <c r="I4" s="140"/>
      <c r="J4" s="140"/>
    </row>
    <row r="5" spans="1:10">
      <c r="A5" s="140"/>
      <c r="B5" s="144">
        <v>2</v>
      </c>
      <c r="C5" s="140"/>
      <c r="D5" s="140"/>
      <c r="G5" s="140"/>
      <c r="H5" s="149">
        <v>22</v>
      </c>
      <c r="I5" s="149">
        <v>33</v>
      </c>
      <c r="J5" s="140"/>
    </row>
    <row r="6" spans="1:10">
      <c r="A6" s="140"/>
      <c r="B6" s="144">
        <v>2</v>
      </c>
      <c r="C6" s="140"/>
      <c r="D6" s="140"/>
      <c r="G6" s="140"/>
      <c r="H6" s="149">
        <v>44</v>
      </c>
      <c r="I6" s="149">
        <v>55</v>
      </c>
      <c r="J6" s="140"/>
    </row>
    <row r="7" spans="1:10">
      <c r="A7" s="140"/>
      <c r="B7" s="142">
        <v>999</v>
      </c>
      <c r="C7" s="140"/>
      <c r="D7" s="140"/>
      <c r="G7" s="140"/>
      <c r="H7" s="149">
        <v>66</v>
      </c>
      <c r="I7" s="149">
        <v>77</v>
      </c>
      <c r="J7" s="140"/>
    </row>
    <row r="8" spans="1:10">
      <c r="A8" s="140"/>
      <c r="B8" s="143">
        <v>1111</v>
      </c>
      <c r="C8" s="140"/>
      <c r="D8" s="140"/>
      <c r="G8" s="140"/>
      <c r="H8" s="149">
        <v>88</v>
      </c>
      <c r="I8" s="149">
        <v>99</v>
      </c>
      <c r="J8" s="140"/>
    </row>
    <row r="9" spans="1:10">
      <c r="A9" s="140"/>
      <c r="B9" s="142">
        <v>999</v>
      </c>
      <c r="C9" s="140"/>
      <c r="D9" s="140"/>
      <c r="G9" s="140"/>
      <c r="H9" s="140"/>
      <c r="I9" s="140"/>
      <c r="J9" s="140"/>
    </row>
    <row r="10" spans="1:10">
      <c r="A10" s="140"/>
      <c r="B10" s="145">
        <v>4</v>
      </c>
      <c r="C10" s="140"/>
      <c r="D10" s="140"/>
      <c r="G10" s="140"/>
      <c r="H10" s="140"/>
      <c r="I10" s="140"/>
      <c r="J10" s="140"/>
    </row>
    <row r="11" spans="1:10">
      <c r="A11" s="140"/>
      <c r="B11" s="145">
        <v>4</v>
      </c>
      <c r="C11" s="140"/>
      <c r="D11" s="140"/>
      <c r="G11" s="206" t="s">
        <v>311</v>
      </c>
      <c r="H11" s="150" cm="1">
        <f t="array" ref="H11:I14">_xlfn.SEQUENCE(4, 2, 22, 11)</f>
        <v>22</v>
      </c>
      <c r="I11" s="151">
        <v>33</v>
      </c>
      <c r="J11" s="152" t="s">
        <v>312</v>
      </c>
    </row>
    <row r="12" spans="1:10">
      <c r="A12" s="140"/>
      <c r="B12" s="140"/>
      <c r="C12" s="140"/>
      <c r="D12" s="140"/>
      <c r="G12" s="206"/>
      <c r="H12" s="151">
        <v>44</v>
      </c>
      <c r="I12" s="151">
        <v>55</v>
      </c>
      <c r="J12" s="140"/>
    </row>
    <row r="13" spans="1:10">
      <c r="A13" s="146"/>
      <c r="B13" s="147" t="str" cm="1">
        <f t="array" ref="B13:B17">_xlfn.UNIQUE(B2:B11, FALSE, FALSE)</f>
        <v>Numbers</v>
      </c>
      <c r="C13" s="148" t="s">
        <v>128</v>
      </c>
      <c r="D13" s="140"/>
      <c r="H13">
        <v>66</v>
      </c>
      <c r="I13">
        <v>77</v>
      </c>
    </row>
    <row r="14" spans="1:10">
      <c r="A14" s="146"/>
      <c r="B14" s="140">
        <v>999</v>
      </c>
      <c r="C14" s="140"/>
      <c r="D14" s="140"/>
      <c r="H14">
        <v>88</v>
      </c>
      <c r="I14">
        <v>99</v>
      </c>
    </row>
    <row r="15" spans="1:10">
      <c r="B15">
        <v>1111</v>
      </c>
    </row>
    <row r="16" spans="1:10">
      <c r="B16">
        <v>2</v>
      </c>
    </row>
    <row r="17" spans="2:2">
      <c r="B17">
        <v>4</v>
      </c>
    </row>
  </sheetData>
  <mergeCells count="3">
    <mergeCell ref="A1:D1"/>
    <mergeCell ref="G3:J3"/>
    <mergeCell ref="G11:G1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K63"/>
  <sheetViews>
    <sheetView topLeftCell="B49" workbookViewId="0">
      <selection activeCell="C56" sqref="C56"/>
    </sheetView>
  </sheetViews>
  <sheetFormatPr defaultColWidth="14.3984375" defaultRowHeight="15" customHeight="1"/>
  <cols>
    <col min="1" max="1" width="59" customWidth="1"/>
    <col min="4" max="4" width="21.73046875" customWidth="1"/>
    <col min="7" max="7" width="27.86328125" customWidth="1"/>
    <col min="10" max="10" width="18.1328125" customWidth="1"/>
  </cols>
  <sheetData>
    <row r="1" spans="1:5" ht="14.25">
      <c r="A1" s="207" t="s">
        <v>313</v>
      </c>
      <c r="B1" s="187"/>
      <c r="C1" s="187"/>
      <c r="D1" s="187"/>
      <c r="E1" s="34"/>
    </row>
    <row r="2" spans="1:5" ht="14.25">
      <c r="A2" s="34"/>
      <c r="B2" s="126" t="s">
        <v>26</v>
      </c>
      <c r="C2" s="126" t="s">
        <v>314</v>
      </c>
      <c r="D2" s="34"/>
      <c r="E2" s="34"/>
    </row>
    <row r="3" spans="1:5" ht="14.25">
      <c r="A3" s="34"/>
      <c r="B3" s="127" t="s">
        <v>315</v>
      </c>
      <c r="C3" s="128">
        <v>3</v>
      </c>
      <c r="D3" s="34"/>
      <c r="E3" s="35"/>
    </row>
    <row r="4" spans="1:5" ht="14.25">
      <c r="A4" s="34"/>
      <c r="B4" s="127" t="s">
        <v>316</v>
      </c>
      <c r="C4" s="128">
        <v>5</v>
      </c>
      <c r="D4" s="34"/>
      <c r="E4" s="35"/>
    </row>
    <row r="5" spans="1:5" ht="14.25">
      <c r="A5" s="34"/>
      <c r="B5" s="127" t="s">
        <v>317</v>
      </c>
      <c r="C5" s="128">
        <v>2</v>
      </c>
      <c r="D5" s="34"/>
      <c r="E5" s="34"/>
    </row>
    <row r="6" spans="1:5" ht="14.25">
      <c r="A6" s="34"/>
      <c r="B6" s="127" t="s">
        <v>262</v>
      </c>
      <c r="C6" s="128">
        <v>4</v>
      </c>
      <c r="D6" s="34"/>
      <c r="E6" s="34"/>
    </row>
    <row r="7" spans="1:5" ht="14.25">
      <c r="A7" s="34"/>
      <c r="B7" s="127" t="s">
        <v>318</v>
      </c>
      <c r="C7" s="128">
        <v>1</v>
      </c>
      <c r="D7" s="34"/>
      <c r="E7" s="34"/>
    </row>
    <row r="8" spans="1:5" ht="14.25">
      <c r="A8" s="34"/>
      <c r="B8" s="34"/>
      <c r="C8" s="34"/>
      <c r="D8" s="34"/>
      <c r="E8" s="34"/>
    </row>
    <row r="9" spans="1:5" ht="14.25">
      <c r="A9" s="34"/>
      <c r="B9" s="34"/>
      <c r="C9" s="34"/>
      <c r="D9" s="34"/>
      <c r="E9" s="34"/>
    </row>
    <row r="10" spans="1:5" ht="14.25">
      <c r="A10" s="34"/>
      <c r="B10" s="43" t="s">
        <v>26</v>
      </c>
      <c r="C10" s="43" t="s">
        <v>314</v>
      </c>
      <c r="D10" s="34"/>
      <c r="E10" s="34"/>
    </row>
    <row r="11" spans="1:5" ht="14.25">
      <c r="A11" s="208" t="s">
        <v>311</v>
      </c>
      <c r="B11" s="42" t="str" cm="1">
        <f t="array" ref="B11:C15">_xlfn._xlws.SORT(B3:C7,2,-1)</f>
        <v>Adi</v>
      </c>
      <c r="C11" s="40">
        <v>5</v>
      </c>
      <c r="D11" s="129" t="s">
        <v>312</v>
      </c>
      <c r="E11" s="34"/>
    </row>
    <row r="12" spans="1:5" ht="14.25">
      <c r="A12" s="187"/>
      <c r="B12" s="40" t="str">
        <v>David</v>
      </c>
      <c r="C12" s="40">
        <v>4</v>
      </c>
      <c r="D12" s="34"/>
      <c r="E12" s="34"/>
    </row>
    <row r="13" spans="1:5" ht="14.25">
      <c r="A13" s="187"/>
      <c r="B13" s="40" t="str">
        <v>Leroy</v>
      </c>
      <c r="C13" s="40">
        <v>3</v>
      </c>
      <c r="D13" s="34"/>
      <c r="E13" s="34"/>
    </row>
    <row r="14" spans="1:5" ht="14.25">
      <c r="A14" s="187"/>
      <c r="B14" s="40" t="str">
        <v>Anya</v>
      </c>
      <c r="C14" s="40">
        <v>2</v>
      </c>
      <c r="D14" s="34"/>
      <c r="E14" s="34"/>
    </row>
    <row r="15" spans="1:5" ht="14.25">
      <c r="A15" s="187"/>
      <c r="B15" s="40" t="str">
        <v>Nemo</v>
      </c>
      <c r="C15" s="40">
        <v>1</v>
      </c>
      <c r="D15" s="34"/>
      <c r="E15" s="34"/>
    </row>
    <row r="20" spans="1:11" ht="31.5" customHeight="1">
      <c r="A20" s="209" t="s">
        <v>319</v>
      </c>
      <c r="B20" s="210"/>
      <c r="C20" s="210"/>
      <c r="D20" s="210"/>
      <c r="E20" s="211"/>
      <c r="H20" s="126" t="s">
        <v>26</v>
      </c>
      <c r="I20" s="130" t="s">
        <v>320</v>
      </c>
      <c r="J20" s="126" t="s">
        <v>26</v>
      </c>
      <c r="K20" s="131" t="s">
        <v>321</v>
      </c>
    </row>
    <row r="21" spans="1:11" ht="14.45" customHeight="1">
      <c r="A21" s="208" t="s">
        <v>322</v>
      </c>
      <c r="B21" s="187"/>
      <c r="C21" s="187"/>
      <c r="D21" s="187"/>
      <c r="E21" s="187"/>
      <c r="F21" s="34"/>
      <c r="G21" s="34"/>
      <c r="H21" s="127" t="s">
        <v>323</v>
      </c>
      <c r="I21" s="132">
        <v>4.0199999999999996</v>
      </c>
      <c r="J21" s="127" t="s">
        <v>323</v>
      </c>
      <c r="K21" s="133">
        <v>9.01</v>
      </c>
    </row>
    <row r="22" spans="1:11" ht="14.45" customHeight="1">
      <c r="A22" s="34"/>
      <c r="B22" s="126" t="s">
        <v>26</v>
      </c>
      <c r="C22" s="126" t="s">
        <v>324</v>
      </c>
      <c r="D22" s="130" t="s">
        <v>320</v>
      </c>
      <c r="E22" s="131" t="s">
        <v>321</v>
      </c>
      <c r="F22" s="34"/>
      <c r="G22" s="34"/>
      <c r="H22" s="127" t="s">
        <v>325</v>
      </c>
      <c r="I22" s="132">
        <v>5.92</v>
      </c>
      <c r="J22" s="127" t="s">
        <v>325</v>
      </c>
      <c r="K22" s="133">
        <v>10.93</v>
      </c>
    </row>
    <row r="23" spans="1:11" ht="14.45" customHeight="1">
      <c r="A23" s="34"/>
      <c r="B23" s="127" t="s">
        <v>323</v>
      </c>
      <c r="C23" s="128">
        <v>4.99</v>
      </c>
      <c r="D23" s="132">
        <v>4.0199999999999996</v>
      </c>
      <c r="E23" s="133">
        <v>9.01</v>
      </c>
      <c r="F23" s="34"/>
      <c r="G23" s="34"/>
      <c r="H23" s="127" t="s">
        <v>326</v>
      </c>
      <c r="I23" s="132">
        <v>6.2</v>
      </c>
      <c r="J23" s="127" t="s">
        <v>326</v>
      </c>
      <c r="K23" s="133">
        <v>10.19</v>
      </c>
    </row>
    <row r="24" spans="1:11" ht="14.45" customHeight="1">
      <c r="A24" s="34"/>
      <c r="B24" s="127" t="s">
        <v>325</v>
      </c>
      <c r="C24" s="128">
        <v>5.01</v>
      </c>
      <c r="D24" s="132">
        <v>5.92</v>
      </c>
      <c r="E24" s="133">
        <v>10.93</v>
      </c>
      <c r="F24" s="34"/>
      <c r="G24" s="34"/>
      <c r="H24" s="127" t="s">
        <v>327</v>
      </c>
      <c r="I24" s="132">
        <v>2.11</v>
      </c>
      <c r="J24" s="127" t="s">
        <v>327</v>
      </c>
      <c r="K24" s="133">
        <v>3.34</v>
      </c>
    </row>
    <row r="25" spans="1:11" ht="14.25">
      <c r="A25" s="34"/>
      <c r="B25" s="127" t="s">
        <v>326</v>
      </c>
      <c r="C25" s="128">
        <v>3.99</v>
      </c>
      <c r="D25" s="132">
        <v>6.2</v>
      </c>
      <c r="E25" s="133">
        <v>10.19</v>
      </c>
      <c r="F25" s="34"/>
      <c r="G25" s="34"/>
      <c r="H25" s="192"/>
      <c r="I25" s="187"/>
      <c r="J25" s="34"/>
    </row>
    <row r="26" spans="1:11" ht="14.25">
      <c r="A26" s="34"/>
      <c r="B26" s="127" t="s">
        <v>327</v>
      </c>
      <c r="C26" s="128">
        <v>1.23</v>
      </c>
      <c r="D26" s="132">
        <v>2.11</v>
      </c>
      <c r="E26" s="133">
        <v>3.34</v>
      </c>
      <c r="F26" s="34"/>
      <c r="G26" s="34"/>
      <c r="H26" s="192"/>
      <c r="I26" s="187"/>
      <c r="J26" s="34"/>
    </row>
    <row r="27" spans="1:11" ht="14.25">
      <c r="A27" s="34"/>
      <c r="B27" s="192"/>
      <c r="C27" s="187"/>
      <c r="D27" s="34"/>
      <c r="E27" s="34"/>
      <c r="F27" s="34"/>
      <c r="G27" s="34"/>
      <c r="H27" s="192"/>
      <c r="I27" s="187"/>
      <c r="J27" s="34"/>
    </row>
    <row r="28" spans="1:11" ht="14.25">
      <c r="A28" s="34"/>
      <c r="B28" s="212" t="s">
        <v>328</v>
      </c>
      <c r="C28" s="184"/>
      <c r="D28" s="34"/>
      <c r="E28" s="214" t="s">
        <v>329</v>
      </c>
      <c r="F28" s="184"/>
      <c r="G28" s="34"/>
      <c r="H28" s="215" t="s">
        <v>321</v>
      </c>
      <c r="I28" s="184"/>
      <c r="J28" s="34"/>
    </row>
    <row r="29" spans="1:11" ht="14.25">
      <c r="A29" s="34"/>
      <c r="B29" s="40" t="s">
        <v>314</v>
      </c>
      <c r="C29" s="154" t="s">
        <v>26</v>
      </c>
      <c r="D29" s="34"/>
      <c r="E29" s="40" t="s">
        <v>314</v>
      </c>
      <c r="F29" s="154" t="s">
        <v>26</v>
      </c>
      <c r="G29" s="34"/>
      <c r="H29" s="40" t="s">
        <v>314</v>
      </c>
      <c r="I29" s="154" t="s">
        <v>26</v>
      </c>
      <c r="J29" s="34"/>
    </row>
    <row r="30" spans="1:11" ht="14.25">
      <c r="A30" s="208" t="s">
        <v>330</v>
      </c>
      <c r="B30" s="41" t="str" cm="1">
        <f t="array" ref="B30:C33">_xlfn.SORTBY(B23:C26,C23:C26,1)</f>
        <v>Carey</v>
      </c>
      <c r="C30" s="42">
        <v>1.23</v>
      </c>
      <c r="D30" s="134" t="s">
        <v>331</v>
      </c>
      <c r="E30" s="41" t="str" cm="1">
        <f t="array" ref="E30:F33">_xlfn.SORTBY(J21:K24,K21:K24,1)</f>
        <v>Carey</v>
      </c>
      <c r="F30" s="42">
        <v>3.34</v>
      </c>
      <c r="G30" s="134" t="s">
        <v>331</v>
      </c>
      <c r="H30" s="41" t="str" cm="1">
        <f t="array" ref="H30:I33">_xlfn.SORTBY(H21:I24,I21:I24,1)</f>
        <v>Carey</v>
      </c>
      <c r="I30" s="42">
        <v>2.11</v>
      </c>
      <c r="J30" s="134" t="s">
        <v>331</v>
      </c>
    </row>
    <row r="31" spans="1:11" ht="14.25">
      <c r="A31" s="187"/>
      <c r="B31" s="41" t="str">
        <v>Jackey</v>
      </c>
      <c r="C31" s="40">
        <v>3.99</v>
      </c>
      <c r="D31" s="34"/>
      <c r="E31" s="41" t="str">
        <v>Hayley</v>
      </c>
      <c r="F31" s="40">
        <v>9.01</v>
      </c>
      <c r="G31" s="34"/>
      <c r="H31" s="41" t="str">
        <v>Hayley</v>
      </c>
      <c r="I31" s="40">
        <v>4.0199999999999996</v>
      </c>
      <c r="J31" s="34"/>
    </row>
    <row r="32" spans="1:11" ht="14.25">
      <c r="A32" s="187"/>
      <c r="B32" s="41" t="str">
        <v>Hayley</v>
      </c>
      <c r="C32" s="40">
        <v>4.99</v>
      </c>
      <c r="D32" s="34"/>
      <c r="E32" s="41" t="str">
        <v>Jackey</v>
      </c>
      <c r="F32" s="40">
        <v>10.19</v>
      </c>
      <c r="G32" s="34"/>
      <c r="H32" s="41" t="str">
        <v>Jonny</v>
      </c>
      <c r="I32" s="40">
        <v>5.92</v>
      </c>
      <c r="J32" s="34"/>
    </row>
    <row r="33" spans="1:10" ht="14.25">
      <c r="A33" s="187"/>
      <c r="B33" s="41" t="str">
        <v>Jonny</v>
      </c>
      <c r="C33" s="40">
        <v>5.01</v>
      </c>
      <c r="D33" s="34"/>
      <c r="E33" s="41" t="str">
        <v>Jonny</v>
      </c>
      <c r="F33" s="40">
        <v>10.93</v>
      </c>
      <c r="G33" s="34"/>
      <c r="H33" s="41" t="str">
        <v>Jackey</v>
      </c>
      <c r="I33" s="40">
        <v>6.2</v>
      </c>
      <c r="J33" s="34"/>
    </row>
    <row r="36" spans="1:10" ht="14.25">
      <c r="A36" s="213" t="s">
        <v>332</v>
      </c>
      <c r="B36" s="184"/>
      <c r="C36" s="184"/>
      <c r="D36" s="184"/>
      <c r="E36" s="184"/>
      <c r="F36" s="184"/>
      <c r="G36" s="184"/>
      <c r="H36" s="184"/>
      <c r="I36" s="184"/>
      <c r="J36" s="185"/>
    </row>
    <row r="37" spans="1:10" ht="14.25">
      <c r="A37" s="189"/>
      <c r="B37" s="190"/>
      <c r="C37" s="190"/>
      <c r="D37" s="190"/>
      <c r="E37" s="190"/>
      <c r="F37" s="190"/>
      <c r="G37" s="190"/>
      <c r="H37" s="190"/>
      <c r="I37" s="190"/>
      <c r="J37" s="191"/>
    </row>
    <row r="39" spans="1:10" ht="14.25">
      <c r="B39" s="35" t="s">
        <v>333</v>
      </c>
      <c r="C39" s="34"/>
      <c r="D39" s="34"/>
      <c r="E39" s="34"/>
      <c r="F39" s="34"/>
    </row>
    <row r="40" spans="1:10" ht="14.25">
      <c r="B40" s="34" t="s">
        <v>334</v>
      </c>
      <c r="C40" s="34"/>
      <c r="D40" s="34"/>
      <c r="E40" s="34"/>
      <c r="F40" s="34"/>
    </row>
    <row r="41" spans="1:10" ht="14.25">
      <c r="B41" s="34" t="s">
        <v>335</v>
      </c>
      <c r="C41" s="34"/>
      <c r="D41" s="34"/>
      <c r="E41" s="34"/>
      <c r="F41" s="34"/>
    </row>
    <row r="42" spans="1:10" ht="14.25">
      <c r="B42" s="34"/>
      <c r="C42" s="34"/>
      <c r="D42" s="34"/>
      <c r="E42" s="34"/>
      <c r="F42" s="34"/>
    </row>
    <row r="43" spans="1:10" ht="14.25">
      <c r="B43" s="34"/>
      <c r="C43" s="35" t="s">
        <v>336</v>
      </c>
      <c r="D43" s="35" t="s">
        <v>337</v>
      </c>
      <c r="E43" s="35" t="s">
        <v>26</v>
      </c>
      <c r="F43" s="35" t="s">
        <v>338</v>
      </c>
    </row>
    <row r="44" spans="1:10" ht="14.25">
      <c r="B44" s="34"/>
      <c r="C44" s="34" t="s">
        <v>266</v>
      </c>
      <c r="D44" s="34" t="s">
        <v>339</v>
      </c>
      <c r="E44" s="34" t="s">
        <v>74</v>
      </c>
      <c r="F44" s="37">
        <v>100</v>
      </c>
    </row>
    <row r="45" spans="1:10" ht="14.25">
      <c r="B45" s="34"/>
      <c r="C45" s="34" t="s">
        <v>340</v>
      </c>
      <c r="D45" s="34" t="s">
        <v>341</v>
      </c>
      <c r="E45" s="34" t="s">
        <v>342</v>
      </c>
      <c r="F45" s="37">
        <v>98</v>
      </c>
    </row>
    <row r="46" spans="1:10" ht="14.25">
      <c r="B46" s="34"/>
      <c r="C46" s="34" t="s">
        <v>343</v>
      </c>
      <c r="D46" s="34" t="s">
        <v>344</v>
      </c>
      <c r="E46" s="34" t="s">
        <v>204</v>
      </c>
      <c r="F46" s="37">
        <v>100</v>
      </c>
    </row>
    <row r="47" spans="1:10" ht="14.25">
      <c r="B47" s="34"/>
      <c r="C47" s="34" t="s">
        <v>268</v>
      </c>
      <c r="D47" s="34" t="s">
        <v>345</v>
      </c>
      <c r="E47" s="34" t="s">
        <v>112</v>
      </c>
      <c r="F47" s="37">
        <v>92</v>
      </c>
    </row>
    <row r="48" spans="1:10" ht="14.25">
      <c r="B48" s="34"/>
      <c r="C48" s="34" t="s">
        <v>266</v>
      </c>
      <c r="D48" s="34" t="s">
        <v>341</v>
      </c>
      <c r="E48" s="34" t="s">
        <v>146</v>
      </c>
      <c r="F48" s="37">
        <v>91</v>
      </c>
    </row>
    <row r="49" spans="2:6" ht="14.25">
      <c r="B49" s="34"/>
      <c r="C49" s="34" t="s">
        <v>268</v>
      </c>
      <c r="D49" s="34" t="s">
        <v>344</v>
      </c>
      <c r="E49" s="34" t="s">
        <v>76</v>
      </c>
      <c r="F49" s="37">
        <v>93</v>
      </c>
    </row>
    <row r="50" spans="2:6" ht="14.25">
      <c r="B50" s="34"/>
      <c r="C50" s="34" t="s">
        <v>340</v>
      </c>
      <c r="D50" s="34" t="s">
        <v>339</v>
      </c>
      <c r="E50" s="34" t="s">
        <v>346</v>
      </c>
      <c r="F50" s="37">
        <v>94</v>
      </c>
    </row>
    <row r="51" spans="2:6" ht="14.25">
      <c r="B51" s="34"/>
      <c r="C51" s="34" t="s">
        <v>266</v>
      </c>
      <c r="D51" s="34" t="s">
        <v>347</v>
      </c>
      <c r="E51" s="34" t="s">
        <v>348</v>
      </c>
      <c r="F51" s="37">
        <v>100</v>
      </c>
    </row>
    <row r="52" spans="2:6" ht="14.25">
      <c r="B52" s="34"/>
      <c r="C52" s="34" t="s">
        <v>268</v>
      </c>
      <c r="D52" s="34" t="s">
        <v>349</v>
      </c>
      <c r="E52" s="34" t="s">
        <v>350</v>
      </c>
      <c r="F52" s="37">
        <v>98</v>
      </c>
    </row>
    <row r="53" spans="2:6" ht="14.25">
      <c r="B53" s="34"/>
      <c r="C53" s="34"/>
      <c r="D53" s="34"/>
      <c r="E53" s="34"/>
      <c r="F53" s="34"/>
    </row>
    <row r="54" spans="2:6" ht="14.25">
      <c r="B54" s="34"/>
      <c r="C54" s="35" t="s">
        <v>336</v>
      </c>
      <c r="D54" s="35" t="s">
        <v>337</v>
      </c>
      <c r="E54" s="35" t="s">
        <v>26</v>
      </c>
      <c r="F54" s="35" t="s">
        <v>338</v>
      </c>
    </row>
    <row r="55" spans="2:6" ht="14.25">
      <c r="B55" s="35" t="s">
        <v>351</v>
      </c>
      <c r="C55" s="76" t="str" cm="1">
        <f t="array" ref="C55:F63">_xlfn.SORTBY(C44:F52,C44:C52,1,D44:D52,1)</f>
        <v>A</v>
      </c>
      <c r="D55" s="34" t="str">
        <v>Brazil</v>
      </c>
      <c r="E55" s="34" t="str">
        <v>Daniel</v>
      </c>
      <c r="F55" s="34">
        <v>100</v>
      </c>
    </row>
    <row r="56" spans="2:6" ht="14.25">
      <c r="B56" s="34"/>
      <c r="C56" s="34" t="str">
        <v>A</v>
      </c>
      <c r="D56" s="34" t="str">
        <v>Canada</v>
      </c>
      <c r="E56" s="34" t="str">
        <v>Alex</v>
      </c>
      <c r="F56" s="34">
        <v>91</v>
      </c>
    </row>
    <row r="57" spans="2:6" ht="14.25">
      <c r="B57" s="34"/>
      <c r="C57" s="34" t="str">
        <v>A</v>
      </c>
      <c r="D57" s="34" t="str">
        <v>USA</v>
      </c>
      <c r="E57" s="34" t="str">
        <v>John</v>
      </c>
      <c r="F57" s="34">
        <v>100</v>
      </c>
    </row>
    <row r="58" spans="2:6" ht="15" customHeight="1">
      <c r="C58" t="str">
        <v>B</v>
      </c>
      <c r="D58" t="str">
        <v>Israel</v>
      </c>
      <c r="E58" t="str">
        <v>Dan</v>
      </c>
      <c r="F58">
        <v>100</v>
      </c>
    </row>
    <row r="59" spans="2:6" ht="15" customHeight="1">
      <c r="C59" t="str">
        <v>C</v>
      </c>
      <c r="D59" t="str">
        <v>Israel</v>
      </c>
      <c r="E59" t="str">
        <v>Dean</v>
      </c>
      <c r="F59">
        <v>93</v>
      </c>
    </row>
    <row r="60" spans="2:6" ht="15" customHeight="1">
      <c r="C60" t="str">
        <v>C</v>
      </c>
      <c r="D60" t="str">
        <v>Nigeria</v>
      </c>
      <c r="E60" t="str">
        <v>James</v>
      </c>
      <c r="F60">
        <v>98</v>
      </c>
    </row>
    <row r="61" spans="2:6" ht="15" customHeight="1">
      <c r="C61" t="str">
        <v>C</v>
      </c>
      <c r="D61" t="str">
        <v>UK</v>
      </c>
      <c r="E61" t="str">
        <v>Jake</v>
      </c>
      <c r="F61">
        <v>92</v>
      </c>
    </row>
    <row r="62" spans="2:6" ht="15" customHeight="1">
      <c r="C62" t="str">
        <v>D</v>
      </c>
      <c r="D62" t="str">
        <v>Canada</v>
      </c>
      <c r="E62" t="str">
        <v>Robert</v>
      </c>
      <c r="F62">
        <v>98</v>
      </c>
    </row>
    <row r="63" spans="2:6" ht="15" customHeight="1">
      <c r="C63" t="str">
        <v>D</v>
      </c>
      <c r="D63" t="str">
        <v>USA</v>
      </c>
      <c r="E63" t="str">
        <v>Jay Jay</v>
      </c>
      <c r="F63">
        <v>94</v>
      </c>
    </row>
  </sheetData>
  <mergeCells count="13">
    <mergeCell ref="A30:A33"/>
    <mergeCell ref="A36:J37"/>
    <mergeCell ref="H25:I25"/>
    <mergeCell ref="H26:I26"/>
    <mergeCell ref="B27:C27"/>
    <mergeCell ref="H27:I27"/>
    <mergeCell ref="E28:F28"/>
    <mergeCell ref="H28:I28"/>
    <mergeCell ref="A1:D1"/>
    <mergeCell ref="A11:A15"/>
    <mergeCell ref="A20:E20"/>
    <mergeCell ref="A21:E21"/>
    <mergeCell ref="B28:C28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F14"/>
  <sheetViews>
    <sheetView workbookViewId="0">
      <selection activeCell="B12" sqref="B12"/>
    </sheetView>
  </sheetViews>
  <sheetFormatPr defaultColWidth="14.3984375" defaultRowHeight="15" customHeight="1"/>
  <cols>
    <col min="1" max="1" width="31.73046875" customWidth="1"/>
    <col min="2" max="2" width="29" customWidth="1"/>
    <col min="3" max="3" width="32.86328125" customWidth="1"/>
    <col min="4" max="4" width="39.3984375" customWidth="1"/>
  </cols>
  <sheetData>
    <row r="1" spans="1:6">
      <c r="A1" s="216" t="s">
        <v>352</v>
      </c>
      <c r="B1" s="187"/>
      <c r="C1" s="187"/>
      <c r="D1" s="187"/>
      <c r="E1" s="34"/>
      <c r="F1" s="34"/>
    </row>
    <row r="2" spans="1:6">
      <c r="A2" s="34"/>
      <c r="B2" s="126" t="s">
        <v>172</v>
      </c>
      <c r="C2" s="126" t="s">
        <v>353</v>
      </c>
      <c r="D2" s="126" t="s">
        <v>354</v>
      </c>
      <c r="E2" s="34"/>
      <c r="F2" s="34"/>
    </row>
    <row r="3" spans="1:6">
      <c r="A3" s="34"/>
      <c r="B3" s="127" t="s">
        <v>176</v>
      </c>
      <c r="C3" s="127" t="s">
        <v>355</v>
      </c>
      <c r="D3" s="128">
        <v>931.78</v>
      </c>
      <c r="E3" s="34"/>
      <c r="F3" s="34"/>
    </row>
    <row r="4" spans="1:6">
      <c r="A4" s="34"/>
      <c r="B4" s="127" t="s">
        <v>356</v>
      </c>
      <c r="C4" s="127" t="s">
        <v>357</v>
      </c>
      <c r="D4" s="128">
        <v>341.28</v>
      </c>
      <c r="E4" s="34"/>
      <c r="F4" s="34"/>
    </row>
    <row r="5" spans="1:6">
      <c r="A5" s="34"/>
      <c r="B5" s="127" t="s">
        <v>258</v>
      </c>
      <c r="C5" s="127" t="s">
        <v>355</v>
      </c>
      <c r="D5" s="128">
        <v>36.020000000000003</v>
      </c>
      <c r="E5" s="34"/>
      <c r="F5" s="34"/>
    </row>
    <row r="6" spans="1:6">
      <c r="A6" s="34"/>
      <c r="B6" s="127" t="s">
        <v>358</v>
      </c>
      <c r="C6" s="127" t="s">
        <v>357</v>
      </c>
      <c r="D6" s="128">
        <v>130.25</v>
      </c>
      <c r="E6" s="34"/>
      <c r="F6" s="34"/>
    </row>
    <row r="7" spans="1:6">
      <c r="A7" s="34"/>
      <c r="B7" s="127" t="s">
        <v>359</v>
      </c>
      <c r="C7" s="127" t="s">
        <v>357</v>
      </c>
      <c r="D7" s="128">
        <v>5.01</v>
      </c>
      <c r="E7" s="34"/>
      <c r="F7" s="34"/>
    </row>
    <row r="8" spans="1:6">
      <c r="A8" s="34"/>
      <c r="B8" s="127" t="s">
        <v>178</v>
      </c>
      <c r="C8" s="127" t="s">
        <v>355</v>
      </c>
      <c r="D8" s="135">
        <v>1200</v>
      </c>
      <c r="E8" s="34"/>
      <c r="F8" s="34"/>
    </row>
    <row r="9" spans="1:6">
      <c r="A9" s="34"/>
      <c r="B9" s="34"/>
      <c r="C9" s="34"/>
      <c r="D9" s="34"/>
      <c r="E9" s="34"/>
      <c r="F9" s="34"/>
    </row>
    <row r="10" spans="1:6">
      <c r="A10" s="34"/>
      <c r="B10" s="126" t="s">
        <v>172</v>
      </c>
      <c r="C10" s="126" t="s">
        <v>353</v>
      </c>
      <c r="D10" s="126" t="s">
        <v>360</v>
      </c>
      <c r="E10" s="34"/>
      <c r="F10" s="34"/>
    </row>
    <row r="11" spans="1:6">
      <c r="A11" s="217" t="s">
        <v>311</v>
      </c>
      <c r="B11" s="42" t="str" cm="1">
        <f t="array" ref="B11:D13">_xlfn._xlws.FILTER(B3:D8,C3:C8="Retail","NO")</f>
        <v>Walmart</v>
      </c>
      <c r="C11" s="40" t="str">
        <v>Retail</v>
      </c>
      <c r="D11" s="40">
        <v>341.28</v>
      </c>
      <c r="E11" s="129" t="s">
        <v>312</v>
      </c>
      <c r="F11" s="34"/>
    </row>
    <row r="12" spans="1:6">
      <c r="A12" s="188"/>
      <c r="B12" s="40" t="str">
        <v>Costco</v>
      </c>
      <c r="C12" s="40" t="str">
        <v>Retail</v>
      </c>
      <c r="D12" s="40">
        <v>130.25</v>
      </c>
      <c r="E12" s="34"/>
      <c r="F12" s="34"/>
    </row>
    <row r="13" spans="1:6">
      <c r="A13" s="188"/>
      <c r="B13" s="40" t="str">
        <v>Macey's</v>
      </c>
      <c r="C13" s="40" t="str">
        <v>Retail</v>
      </c>
      <c r="D13" s="136">
        <v>5.01</v>
      </c>
      <c r="E13" s="34"/>
      <c r="F13" s="34"/>
    </row>
    <row r="14" spans="1:6">
      <c r="A14" s="34"/>
      <c r="B14" s="34"/>
      <c r="C14" s="34"/>
      <c r="D14" s="34"/>
      <c r="E14" s="34"/>
      <c r="F14" s="34"/>
    </row>
  </sheetData>
  <mergeCells count="2">
    <mergeCell ref="A1:D1"/>
    <mergeCell ref="A11:A1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1:N22"/>
  <sheetViews>
    <sheetView tabSelected="1" workbookViewId="0">
      <selection activeCell="A16" sqref="A16"/>
    </sheetView>
  </sheetViews>
  <sheetFormatPr defaultColWidth="14.3984375" defaultRowHeight="15" customHeight="1"/>
  <cols>
    <col min="1" max="1" width="34.3984375" customWidth="1"/>
    <col min="9" max="9" width="31.73046875" customWidth="1"/>
  </cols>
  <sheetData>
    <row r="1" spans="1:14" ht="28.5">
      <c r="A1" s="137" t="s">
        <v>361</v>
      </c>
      <c r="J1" s="34"/>
      <c r="K1" s="34"/>
      <c r="L1" s="34"/>
      <c r="M1" s="34"/>
      <c r="N1" s="34"/>
    </row>
    <row r="2" spans="1:14" ht="28.5">
      <c r="A2" s="137" t="s">
        <v>362</v>
      </c>
      <c r="J2" s="34"/>
      <c r="K2" s="34"/>
      <c r="L2" s="34"/>
      <c r="M2" s="34"/>
      <c r="N2" s="34"/>
    </row>
    <row r="3" spans="1:14" ht="14.25">
      <c r="A3" s="34" t="s">
        <v>363</v>
      </c>
      <c r="J3" s="34"/>
      <c r="K3" s="34"/>
      <c r="L3" s="34"/>
      <c r="M3" s="34"/>
      <c r="N3" s="34"/>
    </row>
    <row r="4" spans="1:14" ht="14.25">
      <c r="A4" s="34"/>
      <c r="J4" s="34"/>
      <c r="K4" s="34"/>
      <c r="L4" s="34"/>
      <c r="M4" s="34"/>
      <c r="N4" s="34"/>
    </row>
    <row r="5" spans="1:14" ht="14.25">
      <c r="A5" s="35" t="s">
        <v>364</v>
      </c>
      <c r="J5" s="34"/>
      <c r="K5" s="34"/>
      <c r="L5" s="34"/>
      <c r="M5" s="34"/>
      <c r="N5" s="34"/>
    </row>
    <row r="6" spans="1:14" ht="14.25">
      <c r="A6" s="76" cm="1">
        <f t="array" aca="1" ref="A6:E10" ca="1">_xlfn.RANDARRAY(5,5,1,10,TRUE)</f>
        <v>5</v>
      </c>
      <c r="B6">
        <f ca="1"/>
        <v>1</v>
      </c>
      <c r="C6">
        <f ca="1"/>
        <v>2</v>
      </c>
      <c r="D6">
        <f ca="1"/>
        <v>4</v>
      </c>
      <c r="E6">
        <f ca="1"/>
        <v>9</v>
      </c>
      <c r="J6" s="34"/>
      <c r="K6" s="34"/>
      <c r="L6" s="34"/>
      <c r="M6" s="34"/>
      <c r="N6" s="34"/>
    </row>
    <row r="7" spans="1:14" ht="15" customHeight="1">
      <c r="A7">
        <f ca="1"/>
        <v>2</v>
      </c>
      <c r="B7">
        <f ca="1"/>
        <v>7</v>
      </c>
      <c r="C7">
        <f ca="1"/>
        <v>9</v>
      </c>
      <c r="D7">
        <f ca="1"/>
        <v>8</v>
      </c>
      <c r="E7">
        <f ca="1"/>
        <v>1</v>
      </c>
    </row>
    <row r="8" spans="1:14" ht="15" customHeight="1">
      <c r="A8">
        <f ca="1"/>
        <v>10</v>
      </c>
      <c r="B8">
        <f ca="1"/>
        <v>2</v>
      </c>
      <c r="C8">
        <f ca="1"/>
        <v>5</v>
      </c>
      <c r="D8">
        <f ca="1"/>
        <v>1</v>
      </c>
      <c r="E8">
        <f ca="1"/>
        <v>9</v>
      </c>
    </row>
    <row r="9" spans="1:14" ht="15" customHeight="1">
      <c r="A9">
        <f ca="1"/>
        <v>5</v>
      </c>
      <c r="B9">
        <f ca="1"/>
        <v>9</v>
      </c>
      <c r="C9">
        <f ca="1"/>
        <v>6</v>
      </c>
      <c r="D9">
        <f ca="1"/>
        <v>9</v>
      </c>
      <c r="E9">
        <f ca="1"/>
        <v>7</v>
      </c>
    </row>
    <row r="10" spans="1:14" ht="15" customHeight="1">
      <c r="A10">
        <f ca="1"/>
        <v>5</v>
      </c>
      <c r="B10">
        <f ca="1"/>
        <v>2</v>
      </c>
      <c r="C10">
        <f ca="1"/>
        <v>9</v>
      </c>
      <c r="D10">
        <f ca="1"/>
        <v>8</v>
      </c>
      <c r="E10">
        <f ca="1"/>
        <v>9</v>
      </c>
    </row>
    <row r="11" spans="1:14" ht="33.75" customHeight="1">
      <c r="A11" s="137" t="s">
        <v>365</v>
      </c>
      <c r="B11" s="34"/>
      <c r="C11" s="34"/>
      <c r="D11" s="34"/>
      <c r="E11" s="34"/>
      <c r="F11" s="34"/>
      <c r="G11" s="34"/>
      <c r="H11" s="34"/>
      <c r="I11" s="34"/>
    </row>
    <row r="12" spans="1:14" ht="14.25">
      <c r="A12" s="34" t="s">
        <v>366</v>
      </c>
      <c r="B12" s="34"/>
      <c r="C12" s="34"/>
      <c r="D12" s="34"/>
      <c r="E12" s="34"/>
      <c r="F12" s="34"/>
      <c r="G12" s="34"/>
      <c r="H12" s="34"/>
      <c r="I12" s="34"/>
    </row>
    <row r="13" spans="1:14" ht="14.25">
      <c r="A13" s="34"/>
      <c r="B13" s="34"/>
      <c r="C13" s="34"/>
      <c r="D13" s="34"/>
      <c r="E13" s="34"/>
      <c r="F13" s="34"/>
      <c r="G13" s="34"/>
      <c r="H13" s="34"/>
      <c r="I13" s="34"/>
    </row>
    <row r="14" spans="1:14" ht="14.25">
      <c r="A14" s="35" t="s">
        <v>364</v>
      </c>
      <c r="B14" s="34"/>
      <c r="C14" s="34"/>
      <c r="D14" s="34"/>
      <c r="E14" s="34"/>
      <c r="F14" s="34"/>
      <c r="G14" s="34"/>
      <c r="H14" s="34"/>
      <c r="I14" s="34"/>
    </row>
    <row r="15" spans="1:14" ht="14.25">
      <c r="A15" s="76" cm="1">
        <f t="array" aca="1" ref="A15:H22" ca="1">_xlfn.RANDARRAY(8,8,1,20,)</f>
        <v>15.267005087069254</v>
      </c>
      <c r="B15" s="34">
        <f ca="1"/>
        <v>13.055523923107344</v>
      </c>
      <c r="C15" s="34">
        <f ca="1"/>
        <v>18.052372526336651</v>
      </c>
      <c r="D15" s="34">
        <f ca="1"/>
        <v>17.115276548464745</v>
      </c>
      <c r="E15" s="34">
        <f ca="1"/>
        <v>6.6528809184608413</v>
      </c>
      <c r="F15" s="34">
        <f ca="1"/>
        <v>9.0532728575067409</v>
      </c>
      <c r="G15" s="34">
        <f ca="1"/>
        <v>11.302573944695585</v>
      </c>
      <c r="H15" s="34">
        <f ca="1"/>
        <v>1.1689412128493686</v>
      </c>
      <c r="I15" s="34"/>
    </row>
    <row r="16" spans="1:14" ht="14.25">
      <c r="A16" s="34">
        <f ca="1"/>
        <v>4.8732460795556491</v>
      </c>
      <c r="B16" s="34">
        <f ca="1"/>
        <v>11.491126279195413</v>
      </c>
      <c r="C16" s="34">
        <f ca="1"/>
        <v>10.196963446842876</v>
      </c>
      <c r="D16" s="34">
        <f ca="1"/>
        <v>8.5398171380463168</v>
      </c>
      <c r="E16" s="34">
        <f ca="1"/>
        <v>9.0637711989281335</v>
      </c>
      <c r="F16" s="34">
        <f ca="1"/>
        <v>13.223849575883289</v>
      </c>
      <c r="G16" s="34">
        <f ca="1"/>
        <v>9.2847841285325785</v>
      </c>
      <c r="H16" s="34">
        <f ca="1"/>
        <v>18.921233448649403</v>
      </c>
      <c r="I16" s="34"/>
    </row>
    <row r="17" spans="1:9" ht="14.25">
      <c r="A17" s="34">
        <f ca="1"/>
        <v>13.855670521833993</v>
      </c>
      <c r="B17" s="34">
        <f ca="1"/>
        <v>1.4250876309129339</v>
      </c>
      <c r="C17" s="34">
        <f ca="1"/>
        <v>9.1269761074052376</v>
      </c>
      <c r="D17" s="34">
        <f ca="1"/>
        <v>11.062641791303012</v>
      </c>
      <c r="E17" s="34">
        <f ca="1"/>
        <v>4.9424359976608798</v>
      </c>
      <c r="F17" s="34">
        <f ca="1"/>
        <v>10.788552843076832</v>
      </c>
      <c r="G17" s="34">
        <f ca="1"/>
        <v>7.6118775631469369</v>
      </c>
      <c r="H17" s="34">
        <f ca="1"/>
        <v>8.46639994154771</v>
      </c>
      <c r="I17" s="34"/>
    </row>
    <row r="18" spans="1:9" ht="15" customHeight="1">
      <c r="A18">
        <f ca="1"/>
        <v>13.633258138757505</v>
      </c>
      <c r="B18">
        <f ca="1"/>
        <v>16.622977891354871</v>
      </c>
      <c r="C18">
        <f ca="1"/>
        <v>7.9468307848067674</v>
      </c>
      <c r="D18">
        <f ca="1"/>
        <v>11.706290798411491</v>
      </c>
      <c r="E18">
        <f ca="1"/>
        <v>2.6019571923001514</v>
      </c>
      <c r="F18">
        <f ca="1"/>
        <v>15.033619507377058</v>
      </c>
      <c r="G18">
        <f ca="1"/>
        <v>17.377240422867736</v>
      </c>
      <c r="H18">
        <f ca="1"/>
        <v>2.894901063780317</v>
      </c>
    </row>
    <row r="19" spans="1:9" ht="15" customHeight="1">
      <c r="A19">
        <f ca="1"/>
        <v>17.599884738946379</v>
      </c>
      <c r="B19">
        <f ca="1"/>
        <v>9.6176225609790649</v>
      </c>
      <c r="C19">
        <f ca="1"/>
        <v>5.9661378388744701</v>
      </c>
      <c r="D19">
        <f ca="1"/>
        <v>4.8484820086259717</v>
      </c>
      <c r="E19">
        <f ca="1"/>
        <v>7.7856922841976512</v>
      </c>
      <c r="F19">
        <f ca="1"/>
        <v>18.106907384491514</v>
      </c>
      <c r="G19">
        <f ca="1"/>
        <v>11.829863681786392</v>
      </c>
      <c r="H19">
        <f ca="1"/>
        <v>10.933316723181438</v>
      </c>
    </row>
    <row r="20" spans="1:9" ht="15" customHeight="1">
      <c r="A20">
        <f ca="1"/>
        <v>7.4371567583304099</v>
      </c>
      <c r="B20">
        <f ca="1"/>
        <v>12.463126714664728</v>
      </c>
      <c r="C20">
        <f ca="1"/>
        <v>14.356501690758222</v>
      </c>
      <c r="D20">
        <f ca="1"/>
        <v>9.108150397635363</v>
      </c>
      <c r="E20">
        <f ca="1"/>
        <v>8.9940472750168077</v>
      </c>
      <c r="F20">
        <f ca="1"/>
        <v>13.479440958291963</v>
      </c>
      <c r="G20">
        <f ca="1"/>
        <v>4.4087792282637039</v>
      </c>
      <c r="H20">
        <f ca="1"/>
        <v>19.668001043319101</v>
      </c>
    </row>
    <row r="21" spans="1:9" ht="15" customHeight="1">
      <c r="A21">
        <f ca="1"/>
        <v>16.567363893708173</v>
      </c>
      <c r="B21">
        <f ca="1"/>
        <v>13.717941572024579</v>
      </c>
      <c r="C21">
        <f ca="1"/>
        <v>6.965931148142765</v>
      </c>
      <c r="D21">
        <f ca="1"/>
        <v>5.6023793782586111</v>
      </c>
      <c r="E21">
        <f ca="1"/>
        <v>7.9997996890420566</v>
      </c>
      <c r="F21">
        <f ca="1"/>
        <v>5.2565968385547208</v>
      </c>
      <c r="G21">
        <f ca="1"/>
        <v>3.8940310526216386</v>
      </c>
      <c r="H21">
        <f ca="1"/>
        <v>1.6209671728277542</v>
      </c>
    </row>
    <row r="22" spans="1:9" ht="15" customHeight="1">
      <c r="A22">
        <f ca="1"/>
        <v>10.126347591127722</v>
      </c>
      <c r="B22">
        <f ca="1"/>
        <v>12.224189259461777</v>
      </c>
      <c r="C22">
        <f ca="1"/>
        <v>10.069654976302218</v>
      </c>
      <c r="D22">
        <f ca="1"/>
        <v>18.133129204177383</v>
      </c>
      <c r="E22">
        <f ca="1"/>
        <v>18.484956834165192</v>
      </c>
      <c r="F22">
        <f ca="1"/>
        <v>17.098239755706103</v>
      </c>
      <c r="G22">
        <f ca="1"/>
        <v>19.049731607277511</v>
      </c>
      <c r="H22">
        <f ca="1"/>
        <v>16.07891399365937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Basic Typing</vt:lpstr>
      <vt:lpstr>Cells and Ranges</vt:lpstr>
      <vt:lpstr>Basic Calculations and Referenc</vt:lpstr>
      <vt:lpstr>Referencing Detailed</vt:lpstr>
      <vt:lpstr>Arithmatic Operators - SUM</vt:lpstr>
      <vt:lpstr>Arithmatic Operators - MAX</vt:lpstr>
      <vt:lpstr>Arithmatic Operators - MIN</vt:lpstr>
      <vt:lpstr>Arithmatic Operators - COUNT an</vt:lpstr>
      <vt:lpstr>Arithmatic Operators - AVERAGE</vt:lpstr>
      <vt:lpstr>Conditional Operators - IF and </vt:lpstr>
      <vt:lpstr>Conditional - SUMIF, COUNTIF an</vt:lpstr>
      <vt:lpstr>Conditional Operators - SUMIFS,</vt:lpstr>
      <vt:lpstr>Logical Operators - ANDOR</vt:lpstr>
      <vt:lpstr>Logical - ISBLANK</vt:lpstr>
      <vt:lpstr>VLOOKUP</vt:lpstr>
      <vt:lpstr>XLOOKUP</vt:lpstr>
      <vt:lpstr>INDEX and MATCH</vt:lpstr>
      <vt:lpstr>LEFT, MID, RIGHT</vt:lpstr>
      <vt:lpstr>CONCATENATE, TEXT JOIN, CONCAT</vt:lpstr>
      <vt:lpstr>UNIQUE and SEQUENCE</vt:lpstr>
      <vt:lpstr>SORT and SORTBY</vt:lpstr>
      <vt:lpstr>FILTER</vt:lpstr>
      <vt:lpstr>RANDARRAY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BISWADIP BHOWMICK</dc:creator>
  <cp:keywords/>
  <dc:description/>
  <cp:lastModifiedBy>Aakash Dharshan</cp:lastModifiedBy>
  <cp:revision/>
  <dcterms:created xsi:type="dcterms:W3CDTF">2025-05-28T23:18:56Z</dcterms:created>
  <dcterms:modified xsi:type="dcterms:W3CDTF">2026-05-31T12:40:55Z</dcterms:modified>
  <cp:category/>
  <cp:contentStatus/>
</cp:coreProperties>
</file>